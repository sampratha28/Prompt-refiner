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Metrics &amp; Scoring" sheetId="2" state="visible" r:id="rId2"/>
    <sheet xmlns:r="http://schemas.openxmlformats.org/officeDocument/2006/relationships" name="Prompt Log" sheetId="3" state="visible" r:id="rId3"/>
  </sheets>
  <definedNames>
    <definedName name="_xlnm._FilterDatabase" localSheetId="0" hidden="1">'Dataset'!$A$1:$H$101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864"/>
      <sz val="13"/>
    </font>
    <font>
      <name val="Arial"/>
      <b val="1"/>
      <color rgb="001F3864"/>
      <sz val="10"/>
    </font>
    <font>
      <name val="Arial"/>
      <b val="1"/>
      <sz val="9"/>
    </font>
    <font>
      <name val="Arial"/>
      <i val="1"/>
      <sz val="9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FFE4C4"/>
      </patternFill>
    </fill>
    <fill>
      <patternFill patternType="solid">
        <fgColor rgb="00EEF2F7"/>
      </patternFill>
    </fill>
    <fill>
      <patternFill patternType="solid">
        <fgColor rgb="00FFC7CE"/>
      </patternFill>
    </fill>
    <fill>
      <patternFill patternType="solid">
        <fgColor rgb="00DDEEFF"/>
      </patternFill>
    </fill>
    <fill>
      <patternFill patternType="solid">
        <fgColor rgb="00FFF3CC"/>
      </patternFill>
    </fill>
    <fill>
      <patternFill patternType="solid">
        <fgColor rgb="00D5F5E3"/>
      </patternFill>
    </fill>
    <fill>
      <patternFill patternType="solid">
        <fgColor rgb="00C6EFCE"/>
      </patternFill>
    </fill>
    <fill>
      <patternFill patternType="solid">
        <fgColor rgb="00E8D5F5"/>
      </patternFill>
    </fill>
    <fill>
      <patternFill patternType="solid">
        <fgColor rgb="00F5D5D5"/>
      </patternFill>
    </fill>
    <fill>
      <patternFill patternType="solid">
        <fgColor rgb="00D6E4F0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D0D7E3"/>
      </left>
      <right style="thin">
        <color rgb="00D0D7E3"/>
      </right>
      <top style="thin">
        <color rgb="00D0D7E3"/>
      </top>
      <bottom style="thin">
        <color rgb="00D0D7E3"/>
      </bottom>
    </border>
    <border>
      <left/>
      <right/>
      <top style="thin">
        <color rgb="00D0D7E3"/>
      </top>
      <bottom/>
      <diagonal/>
    </border>
    <border>
      <left/>
      <right style="thin">
        <color rgb="00D0D7E3"/>
      </right>
      <top style="thin">
        <color rgb="00D0D7E3"/>
      </top>
      <bottom/>
      <diagonal/>
    </border>
    <border>
      <left/>
      <right/>
      <top style="thin">
        <color rgb="00D0D7E3"/>
      </top>
      <bottom style="thin">
        <color rgb="00D0D7E3"/>
      </bottom>
      <diagonal/>
    </border>
    <border>
      <left/>
      <right style="thin">
        <color rgb="00D0D7E3"/>
      </right>
      <top style="thin">
        <color rgb="00D0D7E3"/>
      </top>
      <bottom style="thin">
        <color rgb="00D0D7E3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1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1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22" customWidth="1" min="3" max="3"/>
    <col width="20" customWidth="1" min="4" max="4"/>
    <col width="22" customWidth="1" min="5" max="5"/>
    <col width="20" customWidth="1" min="6" max="6"/>
    <col width="18" customWidth="1" min="7" max="7"/>
    <col width="15" customWidth="1" min="8" max="8"/>
  </cols>
  <sheetData>
    <row r="1" ht="30" customHeight="1">
      <c r="A1" s="1" t="inlineStr">
        <is>
          <t>ID</t>
        </is>
      </c>
      <c r="B1" s="1" t="inlineStr">
        <is>
          <t>Review Text</t>
        </is>
      </c>
      <c r="C1" s="1" t="inlineStr">
        <is>
          <t>Ground Truth Sentiment</t>
        </is>
      </c>
      <c r="D1" s="1" t="inlineStr">
        <is>
          <t>Ground Truth Topic</t>
        </is>
      </c>
      <c r="E1" s="1" t="inlineStr">
        <is>
          <t>Predicted Sentiment</t>
        </is>
      </c>
      <c r="F1" s="1" t="inlineStr">
        <is>
          <t>Predicted Topic</t>
        </is>
      </c>
      <c r="G1" s="1" t="inlineStr">
        <is>
          <t>Sentiment Correct?</t>
        </is>
      </c>
      <c r="H1" s="1" t="inlineStr">
        <is>
          <t>Topic Correct?</t>
        </is>
      </c>
    </row>
    <row r="2" ht="45" customHeight="1">
      <c r="A2" s="2" t="n">
        <v>1</v>
      </c>
      <c r="B2" s="3" t="inlineStr">
        <is>
          <t>Refund process was a bit slow but it worked out in the end.</t>
        </is>
      </c>
      <c r="C2" s="4" t="inlineStr">
        <is>
          <t>Neutral</t>
        </is>
      </c>
      <c r="D2" s="5" t="inlineStr">
        <is>
          <t>Refund</t>
        </is>
      </c>
      <c r="E2" s="2" t="inlineStr"/>
      <c r="F2" s="2" t="inlineStr"/>
      <c r="G2" s="2">
        <f>IF(E2="","",IF(E2=C2,"✓","✗"))</f>
        <v/>
      </c>
      <c r="H2" s="2">
        <f>IF(F2="","",IF(F2=D2,"✓","✗"))</f>
        <v/>
      </c>
    </row>
    <row r="3" ht="45" customHeight="1">
      <c r="A3" s="6" t="n">
        <v>2</v>
      </c>
      <c r="B3" s="7" t="inlineStr">
        <is>
          <t>Got my money back eventually after some back and forth with support.</t>
        </is>
      </c>
      <c r="C3" s="4" t="inlineStr">
        <is>
          <t>Neutral</t>
        </is>
      </c>
      <c r="D3" s="5" t="inlineStr">
        <is>
          <t>Refund</t>
        </is>
      </c>
      <c r="E3" s="6" t="inlineStr"/>
      <c r="F3" s="6" t="inlineStr"/>
      <c r="G3" s="6">
        <f>IF(E3="","",IF(E3=C3,"✓","✗"))</f>
        <v/>
      </c>
      <c r="H3" s="6">
        <f>IF(F3="","",IF(F3=D3,"✓","✗"))</f>
        <v/>
      </c>
    </row>
    <row r="4" ht="45" customHeight="1">
      <c r="A4" s="2" t="n">
        <v>3</v>
      </c>
      <c r="B4" s="3" t="inlineStr">
        <is>
          <t>Support was helpful but the refund policy is terrible.</t>
        </is>
      </c>
      <c r="C4" s="4" t="inlineStr">
        <is>
          <t>Neutral</t>
        </is>
      </c>
      <c r="D4" s="5" t="inlineStr">
        <is>
          <t>Refund</t>
        </is>
      </c>
      <c r="E4" s="2" t="inlineStr"/>
      <c r="F4" s="2" t="inlineStr"/>
      <c r="G4" s="2">
        <f>IF(E4="","",IF(E4=C4,"✓","✗"))</f>
        <v/>
      </c>
      <c r="H4" s="2">
        <f>IF(F4="","",IF(F4=D4,"✓","✗"))</f>
        <v/>
      </c>
    </row>
    <row r="5" ht="45" customHeight="1">
      <c r="A5" s="6" t="n">
        <v>4</v>
      </c>
      <c r="B5" s="7" t="inlineStr">
        <is>
          <t>Wrong item delivered. This is not what I ordered at all.</t>
        </is>
      </c>
      <c r="C5" s="8" t="inlineStr">
        <is>
          <t>Negative</t>
        </is>
      </c>
      <c r="D5" s="9" t="inlineStr">
        <is>
          <t>Delivery</t>
        </is>
      </c>
      <c r="E5" s="6" t="inlineStr"/>
      <c r="F5" s="6" t="inlineStr"/>
      <c r="G5" s="6">
        <f>IF(E5="","",IF(E5=C5,"✓","✗"))</f>
        <v/>
      </c>
      <c r="H5" s="6">
        <f>IF(F5="","",IF(F5=D5,"✓","✗"))</f>
        <v/>
      </c>
    </row>
    <row r="6" ht="45" customHeight="1">
      <c r="A6" s="2" t="n">
        <v>5</v>
      </c>
      <c r="B6" s="3" t="inlineStr">
        <is>
          <t>Charged more than the listed price at checkout. That's deceptive.</t>
        </is>
      </c>
      <c r="C6" s="8" t="inlineStr">
        <is>
          <t>Negative</t>
        </is>
      </c>
      <c r="D6" s="10" t="inlineStr">
        <is>
          <t>Pricing</t>
        </is>
      </c>
      <c r="E6" s="2" t="inlineStr"/>
      <c r="F6" s="2" t="inlineStr"/>
      <c r="G6" s="2">
        <f>IF(E6="","",IF(E6=C6,"✓","✗"))</f>
        <v/>
      </c>
      <c r="H6" s="2">
        <f>IF(F6="","",IF(F6=D6,"✓","✗"))</f>
        <v/>
      </c>
    </row>
    <row r="7" ht="45" customHeight="1">
      <c r="A7" s="6" t="n">
        <v>6</v>
      </c>
      <c r="B7" s="7" t="inlineStr">
        <is>
          <t>Waited on hold for 2 hours and nobody answered. Terrible support.</t>
        </is>
      </c>
      <c r="C7" s="8" t="inlineStr">
        <is>
          <t>Negative</t>
        </is>
      </c>
      <c r="D7" s="11" t="inlineStr">
        <is>
          <t>Customer Support</t>
        </is>
      </c>
      <c r="E7" s="6" t="inlineStr"/>
      <c r="F7" s="6" t="inlineStr"/>
      <c r="G7" s="6">
        <f>IF(E7="","",IF(E7=C7,"✓","✗"))</f>
        <v/>
      </c>
      <c r="H7" s="6">
        <f>IF(F7="","",IF(F7=D7,"✓","✗"))</f>
        <v/>
      </c>
    </row>
    <row r="8" ht="45" customHeight="1">
      <c r="A8" s="2" t="n">
        <v>7</v>
      </c>
      <c r="B8" s="3" t="inlineStr">
        <is>
          <t>Fast shipping! Got my package within 24 hours. Very impressed.</t>
        </is>
      </c>
      <c r="C8" s="12" t="inlineStr">
        <is>
          <t>Positive</t>
        </is>
      </c>
      <c r="D8" s="9" t="inlineStr">
        <is>
          <t>Delivery</t>
        </is>
      </c>
      <c r="E8" s="2" t="inlineStr"/>
      <c r="F8" s="2" t="inlineStr"/>
      <c r="G8" s="2">
        <f>IF(E8="","",IF(E8=C8,"✓","✗"))</f>
        <v/>
      </c>
      <c r="H8" s="2">
        <f>IF(F8="","",IF(F8=D8,"✓","✗"))</f>
        <v/>
      </c>
    </row>
    <row r="9" ht="45" customHeight="1">
      <c r="A9" s="6" t="n">
        <v>8</v>
      </c>
      <c r="B9" s="7" t="inlineStr">
        <is>
          <t>Prices are on the higher side but fair for the quality offered.</t>
        </is>
      </c>
      <c r="C9" s="4" t="inlineStr">
        <is>
          <t>Neutral</t>
        </is>
      </c>
      <c r="D9" s="10" t="inlineStr">
        <is>
          <t>Pricing</t>
        </is>
      </c>
      <c r="E9" s="6" t="inlineStr"/>
      <c r="F9" s="6" t="inlineStr"/>
      <c r="G9" s="6">
        <f>IF(E9="","",IF(E9=C9,"✓","✗"))</f>
        <v/>
      </c>
      <c r="H9" s="6">
        <f>IF(F9="","",IF(F9=D9,"✓","✗"))</f>
        <v/>
      </c>
    </row>
    <row r="10" ht="45" customHeight="1">
      <c r="A10" s="2" t="n">
        <v>9</v>
      </c>
      <c r="B10" s="3" t="inlineStr">
        <is>
          <t>This product is absolutely amazing! Far exceeded my expectations.</t>
        </is>
      </c>
      <c r="C10" s="12" t="inlineStr">
        <is>
          <t>Positive</t>
        </is>
      </c>
      <c r="D10" s="13" t="inlineStr">
        <is>
          <t>Product Quality</t>
        </is>
      </c>
      <c r="E10" s="2" t="inlineStr"/>
      <c r="F10" s="2" t="inlineStr"/>
      <c r="G10" s="2">
        <f>IF(E10="","",IF(E10=C10,"✓","✗"))</f>
        <v/>
      </c>
      <c r="H10" s="2">
        <f>IF(F10="","",IF(F10=D10,"✓","✗"))</f>
        <v/>
      </c>
    </row>
    <row r="11" ht="45" customHeight="1">
      <c r="A11" s="6" t="n">
        <v>10</v>
      </c>
      <c r="B11" s="7" t="inlineStr">
        <is>
          <t>Order history and tracking are perfectly organized in the app.</t>
        </is>
      </c>
      <c r="C11" s="12" t="inlineStr">
        <is>
          <t>Positive</t>
        </is>
      </c>
      <c r="D11" s="14" t="inlineStr">
        <is>
          <t>Account/App</t>
        </is>
      </c>
      <c r="E11" s="6" t="inlineStr"/>
      <c r="F11" s="6" t="inlineStr"/>
      <c r="G11" s="6">
        <f>IF(E11="","",IF(E11=C11,"✓","✗"))</f>
        <v/>
      </c>
      <c r="H11" s="6">
        <f>IF(F11="","",IF(F11=D11,"✓","✗"))</f>
        <v/>
      </c>
    </row>
    <row r="12" ht="45" customHeight="1">
      <c r="A12" s="2" t="n">
        <v>11</v>
      </c>
      <c r="B12" s="3" t="inlineStr">
        <is>
          <t>Pricing is competitive but doesn't stand out.</t>
        </is>
      </c>
      <c r="C12" s="4" t="inlineStr">
        <is>
          <t>Neutral</t>
        </is>
      </c>
      <c r="D12" s="10" t="inlineStr">
        <is>
          <t>Pricing</t>
        </is>
      </c>
      <c r="E12" s="2" t="inlineStr"/>
      <c r="F12" s="2" t="inlineStr"/>
      <c r="G12" s="2">
        <f>IF(E12="","",IF(E12=C12,"✓","✗"))</f>
        <v/>
      </c>
      <c r="H12" s="2">
        <f>IF(F12="","",IF(F12=D12,"✓","✗"))</f>
        <v/>
      </c>
    </row>
    <row r="13" ht="45" customHeight="1">
      <c r="A13" s="6" t="n">
        <v>12</v>
      </c>
      <c r="B13" s="7" t="inlineStr">
        <is>
          <t>Package arrived. It was a few days later than expected but it's here.</t>
        </is>
      </c>
      <c r="C13" s="4" t="inlineStr">
        <is>
          <t>Neutral</t>
        </is>
      </c>
      <c r="D13" s="9" t="inlineStr">
        <is>
          <t>Delivery</t>
        </is>
      </c>
      <c r="E13" s="6" t="inlineStr"/>
      <c r="F13" s="6" t="inlineStr"/>
      <c r="G13" s="6">
        <f>IF(E13="","",IF(E13=C13,"✓","✗"))</f>
        <v/>
      </c>
      <c r="H13" s="6">
        <f>IF(F13="","",IF(F13=D13,"✓","✗"))</f>
        <v/>
      </c>
    </row>
    <row r="14" ht="45" customHeight="1">
      <c r="A14" s="2" t="n">
        <v>13</v>
      </c>
      <c r="B14" s="3" t="inlineStr">
        <is>
          <t>Support was okay. Took a while but eventually resolved my issue.</t>
        </is>
      </c>
      <c r="C14" s="4" t="inlineStr">
        <is>
          <t>Neutral</t>
        </is>
      </c>
      <c r="D14" s="11" t="inlineStr">
        <is>
          <t>Customer Support</t>
        </is>
      </c>
      <c r="E14" s="2" t="inlineStr"/>
      <c r="F14" s="2" t="inlineStr"/>
      <c r="G14" s="2">
        <f>IF(E14="","",IF(E14=C14,"✓","✗"))</f>
        <v/>
      </c>
      <c r="H14" s="2">
        <f>IF(F14="","",IF(F14=D14,"✓","✗"))</f>
        <v/>
      </c>
    </row>
    <row r="15" ht="45" customHeight="1">
      <c r="A15" s="6" t="n">
        <v>14</v>
      </c>
      <c r="B15" s="7" t="inlineStr">
        <is>
          <t>The agent was polite but didn't fully understand my problem at first.</t>
        </is>
      </c>
      <c r="C15" s="4" t="inlineStr">
        <is>
          <t>Neutral</t>
        </is>
      </c>
      <c r="D15" s="11" t="inlineStr">
        <is>
          <t>Customer Support</t>
        </is>
      </c>
      <c r="E15" s="6" t="inlineStr"/>
      <c r="F15" s="6" t="inlineStr"/>
      <c r="G15" s="6">
        <f>IF(E15="","",IF(E15=C15,"✓","✗"))</f>
        <v/>
      </c>
      <c r="H15" s="6">
        <f>IF(F15="","",IF(F15=D15,"✓","✗"))</f>
        <v/>
      </c>
    </row>
    <row r="16" ht="45" customHeight="1">
      <c r="A16" s="2" t="n">
        <v>15</v>
      </c>
      <c r="B16" s="3" t="inlineStr">
        <is>
          <t>The price is acceptable. I've seen cheaper but also more expensive.</t>
        </is>
      </c>
      <c r="C16" s="4" t="inlineStr">
        <is>
          <t>Neutral</t>
        </is>
      </c>
      <c r="D16" s="10" t="inlineStr">
        <is>
          <t>Pricing</t>
        </is>
      </c>
      <c r="E16" s="2" t="inlineStr"/>
      <c r="F16" s="2" t="inlineStr"/>
      <c r="G16" s="2">
        <f>IF(E16="","",IF(E16=C16,"✓","✗"))</f>
        <v/>
      </c>
      <c r="H16" s="2">
        <f>IF(F16="","",IF(F16=D16,"✓","✗"))</f>
        <v/>
      </c>
    </row>
    <row r="17" ht="45" customHeight="1">
      <c r="A17" s="6" t="n">
        <v>16</v>
      </c>
      <c r="B17" s="7" t="inlineStr">
        <is>
          <t>Support agent was incredibly helpful and resolved my issue instantly.</t>
        </is>
      </c>
      <c r="C17" s="12" t="inlineStr">
        <is>
          <t>Positive</t>
        </is>
      </c>
      <c r="D17" s="11" t="inlineStr">
        <is>
          <t>Customer Support</t>
        </is>
      </c>
      <c r="E17" s="6" t="inlineStr"/>
      <c r="F17" s="6" t="inlineStr"/>
      <c r="G17" s="6">
        <f>IF(E17="","",IF(E17=C17,"✓","✗"))</f>
        <v/>
      </c>
      <c r="H17" s="6">
        <f>IF(F17="","",IF(F17=D17,"✓","✗"))</f>
        <v/>
      </c>
    </row>
    <row r="18" ht="45" customHeight="1">
      <c r="A18" s="2" t="n">
        <v>17</v>
      </c>
      <c r="B18" s="3" t="inlineStr">
        <is>
          <t>The rep was so patient and knowledgeable. Best support experience ever.</t>
        </is>
      </c>
      <c r="C18" s="12" t="inlineStr">
        <is>
          <t>Positive</t>
        </is>
      </c>
      <c r="D18" s="11" t="inlineStr">
        <is>
          <t>Customer Support</t>
        </is>
      </c>
      <c r="E18" s="2" t="inlineStr"/>
      <c r="F18" s="2" t="inlineStr"/>
      <c r="G18" s="2">
        <f>IF(E18="","",IF(E18=C18,"✓","✗"))</f>
        <v/>
      </c>
      <c r="H18" s="2">
        <f>IF(F18="","",IF(F18=D18,"✓","✗"))</f>
        <v/>
      </c>
    </row>
    <row r="19" ht="45" customHeight="1">
      <c r="A19" s="6" t="n">
        <v>18</v>
      </c>
      <c r="B19" s="7" t="inlineStr">
        <is>
          <t>Fast delivery but the product quality didn't match the description.</t>
        </is>
      </c>
      <c r="C19" s="4" t="inlineStr">
        <is>
          <t>Neutral</t>
        </is>
      </c>
      <c r="D19" s="13" t="inlineStr">
        <is>
          <t>Product Quality</t>
        </is>
      </c>
      <c r="E19" s="6" t="inlineStr"/>
      <c r="F19" s="6" t="inlineStr"/>
      <c r="G19" s="6">
        <f>IF(E19="","",IF(E19=C19,"✓","✗"))</f>
        <v/>
      </c>
      <c r="H19" s="6">
        <f>IF(F19="","",IF(F19=D19,"✓","✗"))</f>
        <v/>
      </c>
    </row>
    <row r="20" ht="45" customHeight="1">
      <c r="A20" s="2" t="n">
        <v>19</v>
      </c>
      <c r="B20" s="3" t="inlineStr">
        <is>
          <t>Setting up my account was quick and easy. Love the clean interface.</t>
        </is>
      </c>
      <c r="C20" s="12" t="inlineStr">
        <is>
          <t>Positive</t>
        </is>
      </c>
      <c r="D20" s="14" t="inlineStr">
        <is>
          <t>Account/App</t>
        </is>
      </c>
      <c r="E20" s="2" t="inlineStr"/>
      <c r="F20" s="2" t="inlineStr"/>
      <c r="G20" s="2">
        <f>IF(E20="","",IF(E20=C20,"✓","✗"))</f>
        <v/>
      </c>
      <c r="H20" s="2">
        <f>IF(F20="","",IF(F20=D20,"✓","✗"))</f>
        <v/>
      </c>
    </row>
    <row r="21" ht="45" customHeight="1">
      <c r="A21" s="6" t="n">
        <v>20</v>
      </c>
      <c r="B21" s="7" t="inlineStr">
        <is>
          <t>Only gave me store credit instead of money back. Very frustrating.</t>
        </is>
      </c>
      <c r="C21" s="8" t="inlineStr">
        <is>
          <t>Negative</t>
        </is>
      </c>
      <c r="D21" s="5" t="inlineStr">
        <is>
          <t>Refund</t>
        </is>
      </c>
      <c r="E21" s="6" t="inlineStr"/>
      <c r="F21" s="6" t="inlineStr"/>
      <c r="G21" s="6">
        <f>IF(E21="","",IF(E21=C21,"✓","✗"))</f>
        <v/>
      </c>
      <c r="H21" s="6">
        <f>IF(F21="","",IF(F21=D21,"✓","✗"))</f>
        <v/>
      </c>
    </row>
    <row r="22" ht="45" customHeight="1">
      <c r="A22" s="2" t="n">
        <v>21</v>
      </c>
      <c r="B22" s="3" t="inlineStr">
        <is>
          <t>Got my refund processed in under 24 hours. Super fast and easy!</t>
        </is>
      </c>
      <c r="C22" s="12" t="inlineStr">
        <is>
          <t>Positive</t>
        </is>
      </c>
      <c r="D22" s="5" t="inlineStr">
        <is>
          <t>Refund</t>
        </is>
      </c>
      <c r="E22" s="2" t="inlineStr"/>
      <c r="F22" s="2" t="inlineStr"/>
      <c r="G22" s="2">
        <f>IF(E22="","",IF(E22=C22,"✓","✗"))</f>
        <v/>
      </c>
      <c r="H22" s="2">
        <f>IF(F22="","",IF(F22=D22,"✓","✗"))</f>
        <v/>
      </c>
    </row>
    <row r="23" ht="45" customHeight="1">
      <c r="A23" s="6" t="n">
        <v>22</v>
      </c>
      <c r="B23" s="7" t="inlineStr">
        <is>
          <t>Looks nothing like the photos. Cheap plastic and flimsy construction.</t>
        </is>
      </c>
      <c r="C23" s="8" t="inlineStr">
        <is>
          <t>Negative</t>
        </is>
      </c>
      <c r="D23" s="13" t="inlineStr">
        <is>
          <t>Product Quality</t>
        </is>
      </c>
      <c r="E23" s="6" t="inlineStr"/>
      <c r="F23" s="6" t="inlineStr"/>
      <c r="G23" s="6">
        <f>IF(E23="","",IF(E23=C23,"✓","✗"))</f>
        <v/>
      </c>
      <c r="H23" s="6">
        <f>IF(F23="","",IF(F23=D23,"✓","✗"))</f>
        <v/>
      </c>
    </row>
    <row r="24" ht="45" customHeight="1">
      <c r="A24" s="2" t="n">
        <v>23</v>
      </c>
      <c r="B24" s="3" t="inlineStr">
        <is>
          <t>No questions asked return policy. Refund was smooth and quick.</t>
        </is>
      </c>
      <c r="C24" s="12" t="inlineStr">
        <is>
          <t>Positive</t>
        </is>
      </c>
      <c r="D24" s="5" t="inlineStr">
        <is>
          <t>Refund</t>
        </is>
      </c>
      <c r="E24" s="2" t="inlineStr"/>
      <c r="F24" s="2" t="inlineStr"/>
      <c r="G24" s="2">
        <f>IF(E24="","",IF(E24=C24,"✓","✗"))</f>
        <v/>
      </c>
      <c r="H24" s="2">
        <f>IF(F24="","",IF(F24=D24,"✓","✗"))</f>
        <v/>
      </c>
    </row>
    <row r="25" ht="45" customHeight="1">
      <c r="A25" s="6" t="n">
        <v>24</v>
      </c>
      <c r="B25" s="7" t="inlineStr">
        <is>
          <t>Very nice packaging but the item inside was damaged.</t>
        </is>
      </c>
      <c r="C25" s="8" t="inlineStr">
        <is>
          <t>Negative</t>
        </is>
      </c>
      <c r="D25" s="13" t="inlineStr">
        <is>
          <t>Product Quality</t>
        </is>
      </c>
      <c r="E25" s="6" t="inlineStr"/>
      <c r="F25" s="6" t="inlineStr"/>
      <c r="G25" s="6">
        <f>IF(E25="","",IF(E25=C25,"✓","✗"))</f>
        <v/>
      </c>
      <c r="H25" s="6">
        <f>IF(F25="","",IF(F25=D25,"✓","✗"))</f>
        <v/>
      </c>
    </row>
    <row r="26" ht="45" customHeight="1">
      <c r="A26" s="2" t="n">
        <v>25</v>
      </c>
      <c r="B26" s="3" t="inlineStr">
        <is>
          <t>Can't log into my account despite resetting my password 3 times.</t>
        </is>
      </c>
      <c r="C26" s="8" t="inlineStr">
        <is>
          <t>Negative</t>
        </is>
      </c>
      <c r="D26" s="14" t="inlineStr">
        <is>
          <t>Account/App</t>
        </is>
      </c>
      <c r="E26" s="2" t="inlineStr"/>
      <c r="F26" s="2" t="inlineStr"/>
      <c r="G26" s="2">
        <f>IF(E26="","",IF(E26=C26,"✓","✗"))</f>
        <v/>
      </c>
      <c r="H26" s="2">
        <f>IF(F26="","",IF(F26=D26,"✓","✗"))</f>
        <v/>
      </c>
    </row>
    <row r="27" ht="45" customHeight="1">
      <c r="A27" s="6" t="n">
        <v>26</v>
      </c>
      <c r="B27" s="7" t="inlineStr">
        <is>
          <t>Support team followed up proactively after resolving my issue. Impressive!</t>
        </is>
      </c>
      <c r="C27" s="12" t="inlineStr">
        <is>
          <t>Positive</t>
        </is>
      </c>
      <c r="D27" s="11" t="inlineStr">
        <is>
          <t>Customer Support</t>
        </is>
      </c>
      <c r="E27" s="6" t="inlineStr"/>
      <c r="F27" s="6" t="inlineStr"/>
      <c r="G27" s="6">
        <f>IF(E27="","",IF(E27=C27,"✓","✗"))</f>
        <v/>
      </c>
      <c r="H27" s="6">
        <f>IF(F27="","",IF(F27=D27,"✓","✗"))</f>
        <v/>
      </c>
    </row>
    <row r="28" ht="45" customHeight="1">
      <c r="A28" s="2" t="n">
        <v>27</v>
      </c>
      <c r="B28" s="3" t="inlineStr">
        <is>
          <t>Order history is completely missing from my account. Data loss issue.</t>
        </is>
      </c>
      <c r="C28" s="8" t="inlineStr">
        <is>
          <t>Negative</t>
        </is>
      </c>
      <c r="D28" s="14" t="inlineStr">
        <is>
          <t>Account/App</t>
        </is>
      </c>
      <c r="E28" s="2" t="inlineStr"/>
      <c r="F28" s="2" t="inlineStr"/>
      <c r="G28" s="2">
        <f>IF(E28="","",IF(E28=C28,"✓","✗"))</f>
        <v/>
      </c>
      <c r="H28" s="2">
        <f>IF(F28="","",IF(F28=D28,"✓","✗"))</f>
        <v/>
      </c>
    </row>
    <row r="29" ht="45" customHeight="1">
      <c r="A29" s="6" t="n">
        <v>28</v>
      </c>
      <c r="B29" s="7" t="inlineStr">
        <is>
          <t>Quality is average for the price. Nothing to write home about.</t>
        </is>
      </c>
      <c r="C29" s="4" t="inlineStr">
        <is>
          <t>Neutral</t>
        </is>
      </c>
      <c r="D29" s="13" t="inlineStr">
        <is>
          <t>Product Quality</t>
        </is>
      </c>
      <c r="E29" s="6" t="inlineStr"/>
      <c r="F29" s="6" t="inlineStr"/>
      <c r="G29" s="6">
        <f>IF(E29="","",IF(E29=C29,"✓","✗"))</f>
        <v/>
      </c>
      <c r="H29" s="6">
        <f>IF(F29="","",IF(F29=D29,"✓","✗"))</f>
        <v/>
      </c>
    </row>
    <row r="30" ht="45" customHeight="1">
      <c r="A30" s="2" t="n">
        <v>29</v>
      </c>
      <c r="B30" s="3" t="inlineStr">
        <is>
          <t>The app is functional. Some features could be more intuitive.</t>
        </is>
      </c>
      <c r="C30" s="4" t="inlineStr">
        <is>
          <t>Neutral</t>
        </is>
      </c>
      <c r="D30" s="14" t="inlineStr">
        <is>
          <t>Account/App</t>
        </is>
      </c>
      <c r="E30" s="2" t="inlineStr"/>
      <c r="F30" s="2" t="inlineStr"/>
      <c r="G30" s="2">
        <f>IF(E30="","",IF(E30=C30,"✓","✗"))</f>
        <v/>
      </c>
      <c r="H30" s="2">
        <f>IF(F30="","",IF(F30=D30,"✓","✗"))</f>
        <v/>
      </c>
    </row>
    <row r="31" ht="45" customHeight="1">
      <c r="A31" s="6" t="n">
        <v>30</v>
      </c>
      <c r="B31" s="7" t="inlineStr">
        <is>
          <t>Very easy refund process. The support agent was understanding and helpful.</t>
        </is>
      </c>
      <c r="C31" s="12" t="inlineStr">
        <is>
          <t>Positive</t>
        </is>
      </c>
      <c r="D31" s="5" t="inlineStr">
        <is>
          <t>Refund</t>
        </is>
      </c>
      <c r="E31" s="6" t="inlineStr"/>
      <c r="F31" s="6" t="inlineStr"/>
      <c r="G31" s="6">
        <f>IF(E31="","",IF(E31=C31,"✓","✗"))</f>
        <v/>
      </c>
      <c r="H31" s="6">
        <f>IF(F31="","",IF(F31=D31,"✓","✗"))</f>
        <v/>
      </c>
    </row>
    <row r="32" ht="45" customHeight="1">
      <c r="A32" s="2" t="n">
        <v>31</v>
      </c>
      <c r="B32" s="3" t="inlineStr">
        <is>
          <t>Package was left outside in the rain and everything inside was ruined.</t>
        </is>
      </c>
      <c r="C32" s="8" t="inlineStr">
        <is>
          <t>Negative</t>
        </is>
      </c>
      <c r="D32" s="9" t="inlineStr">
        <is>
          <t>Delivery</t>
        </is>
      </c>
      <c r="E32" s="2" t="inlineStr"/>
      <c r="F32" s="2" t="inlineStr"/>
      <c r="G32" s="2">
        <f>IF(E32="","",IF(E32=C32,"✓","✗"))</f>
        <v/>
      </c>
      <c r="H32" s="2">
        <f>IF(F32="","",IF(F32=D32,"✓","✗"))</f>
        <v/>
      </c>
    </row>
    <row r="33" ht="45" customHeight="1">
      <c r="A33" s="6" t="n">
        <v>32</v>
      </c>
      <c r="B33" s="7" t="inlineStr">
        <is>
          <t>Live chat support was fast and efficient. Problem solved in minutes.</t>
        </is>
      </c>
      <c r="C33" s="12" t="inlineStr">
        <is>
          <t>Positive</t>
        </is>
      </c>
      <c r="D33" s="11" t="inlineStr">
        <is>
          <t>Customer Support</t>
        </is>
      </c>
      <c r="E33" s="6" t="inlineStr"/>
      <c r="F33" s="6" t="inlineStr"/>
      <c r="G33" s="6">
        <f>IF(E33="","",IF(E33=C33,"✓","✗"))</f>
        <v/>
      </c>
      <c r="H33" s="6">
        <f>IF(F33="","",IF(F33=D33,"✓","✗"))</f>
        <v/>
      </c>
    </row>
    <row r="34" ht="45" customHeight="1">
      <c r="A34" s="2" t="n">
        <v>33</v>
      </c>
      <c r="B34" s="3" t="inlineStr">
        <is>
          <t>Support got the job done. A bit robotic but professional enough.</t>
        </is>
      </c>
      <c r="C34" s="4" t="inlineStr">
        <is>
          <t>Neutral</t>
        </is>
      </c>
      <c r="D34" s="11" t="inlineStr">
        <is>
          <t>Customer Support</t>
        </is>
      </c>
      <c r="E34" s="2" t="inlineStr"/>
      <c r="F34" s="2" t="inlineStr"/>
      <c r="G34" s="2">
        <f>IF(E34="","",IF(E34=C34,"✓","✗"))</f>
        <v/>
      </c>
      <c r="H34" s="2">
        <f>IF(F34="","",IF(F34=D34,"✓","✗"))</f>
        <v/>
      </c>
    </row>
    <row r="35" ht="45" customHeight="1">
      <c r="A35" s="6" t="n">
        <v>34</v>
      </c>
      <c r="B35" s="7" t="inlineStr">
        <is>
          <t>Price matched my request without any hassle. Excellent policy.</t>
        </is>
      </c>
      <c r="C35" s="12" t="inlineStr">
        <is>
          <t>Positive</t>
        </is>
      </c>
      <c r="D35" s="10" t="inlineStr">
        <is>
          <t>Pricing</t>
        </is>
      </c>
      <c r="E35" s="6" t="inlineStr"/>
      <c r="F35" s="6" t="inlineStr"/>
      <c r="G35" s="6">
        <f>IF(E35="","",IF(E35=C35,"✓","✗"))</f>
        <v/>
      </c>
      <c r="H35" s="6">
        <f>IF(F35="","",IF(F35=D35,"✓","✗"))</f>
        <v/>
      </c>
    </row>
    <row r="36" ht="45" customHeight="1">
      <c r="A36" s="2" t="n">
        <v>35</v>
      </c>
      <c r="B36" s="3" t="inlineStr">
        <is>
          <t>Not the cheapest option but you do get what you pay for.</t>
        </is>
      </c>
      <c r="C36" s="4" t="inlineStr">
        <is>
          <t>Neutral</t>
        </is>
      </c>
      <c r="D36" s="10" t="inlineStr">
        <is>
          <t>Pricing</t>
        </is>
      </c>
      <c r="E36" s="2" t="inlineStr"/>
      <c r="F36" s="2" t="inlineStr"/>
      <c r="G36" s="2">
        <f>IF(E36="","",IF(E36=C36,"✓","✗"))</f>
        <v/>
      </c>
      <c r="H36" s="2">
        <f>IF(F36="","",IF(F36=D36,"✓","✗"))</f>
        <v/>
      </c>
    </row>
    <row r="37" ht="45" customHeight="1">
      <c r="A37" s="6" t="n">
        <v>36</v>
      </c>
      <c r="B37" s="7" t="inlineStr">
        <is>
          <t>Refund received, though it took longer than I would have liked.</t>
        </is>
      </c>
      <c r="C37" s="4" t="inlineStr">
        <is>
          <t>Neutral</t>
        </is>
      </c>
      <c r="D37" s="5" t="inlineStr">
        <is>
          <t>Refund</t>
        </is>
      </c>
      <c r="E37" s="6" t="inlineStr"/>
      <c r="F37" s="6" t="inlineStr"/>
      <c r="G37" s="6">
        <f>IF(E37="","",IF(E37=C37,"✓","✗"))</f>
        <v/>
      </c>
      <c r="H37" s="6">
        <f>IF(F37="","",IF(F37=D37,"✓","✗"))</f>
        <v/>
      </c>
    </row>
    <row r="38" ht="45" customHeight="1">
      <c r="A38" s="2" t="n">
        <v>37</v>
      </c>
      <c r="B38" s="3" t="inlineStr">
        <is>
          <t>Impressed with the quick delivery, frustrated with the return process.</t>
        </is>
      </c>
      <c r="C38" s="4" t="inlineStr">
        <is>
          <t>Neutral</t>
        </is>
      </c>
      <c r="D38" s="9" t="inlineStr">
        <is>
          <t>Delivery</t>
        </is>
      </c>
      <c r="E38" s="2" t="inlineStr"/>
      <c r="F38" s="2" t="inlineStr"/>
      <c r="G38" s="2">
        <f>IF(E38="","",IF(E38=C38,"✓","✗"))</f>
        <v/>
      </c>
      <c r="H38" s="2">
        <f>IF(F38="","",IF(F38=D38,"✓","✗"))</f>
        <v/>
      </c>
    </row>
    <row r="39" ht="45" customHeight="1">
      <c r="A39" s="6" t="n">
        <v>38</v>
      </c>
      <c r="B39" s="7" t="inlineStr">
        <is>
          <t>Sent 5 emails with no response. Their customer support is nonexistent.</t>
        </is>
      </c>
      <c r="C39" s="8" t="inlineStr">
        <is>
          <t>Negative</t>
        </is>
      </c>
      <c r="D39" s="11" t="inlineStr">
        <is>
          <t>Customer Support</t>
        </is>
      </c>
      <c r="E39" s="6" t="inlineStr"/>
      <c r="F39" s="6" t="inlineStr"/>
      <c r="G39" s="6">
        <f>IF(E39="","",IF(E39=C39,"✓","✗"))</f>
        <v/>
      </c>
      <c r="H39" s="6">
        <f>IF(F39="","",IF(F39=D39,"✓","✗"))</f>
        <v/>
      </c>
    </row>
    <row r="40" ht="45" customHeight="1">
      <c r="A40" s="2" t="n">
        <v>39</v>
      </c>
      <c r="B40" s="3" t="inlineStr">
        <is>
          <t>App works fine. Nothing too impressive but gets the job done.</t>
        </is>
      </c>
      <c r="C40" s="4" t="inlineStr">
        <is>
          <t>Neutral</t>
        </is>
      </c>
      <c r="D40" s="14" t="inlineStr">
        <is>
          <t>Account/App</t>
        </is>
      </c>
      <c r="E40" s="2" t="inlineStr"/>
      <c r="F40" s="2" t="inlineStr"/>
      <c r="G40" s="2">
        <f>IF(E40="","",IF(E40=C40,"✓","✗"))</f>
        <v/>
      </c>
      <c r="H40" s="2">
        <f>IF(F40="","",IF(F40=D40,"✓","✗"))</f>
        <v/>
      </c>
    </row>
    <row r="41" ht="45" customHeight="1">
      <c r="A41" s="6" t="n">
        <v>40</v>
      </c>
      <c r="B41" s="7" t="inlineStr">
        <is>
          <t>Delivery was okay. Packaging could have been a bit sturdier.</t>
        </is>
      </c>
      <c r="C41" s="4" t="inlineStr">
        <is>
          <t>Neutral</t>
        </is>
      </c>
      <c r="D41" s="9" t="inlineStr">
        <is>
          <t>Delivery</t>
        </is>
      </c>
      <c r="E41" s="6" t="inlineStr"/>
      <c r="F41" s="6" t="inlineStr"/>
      <c r="G41" s="6">
        <f>IF(E41="","",IF(E41=C41,"✓","✗"))</f>
        <v/>
      </c>
      <c r="H41" s="6">
        <f>IF(F41="","",IF(F41=D41,"✓","✗"))</f>
        <v/>
      </c>
    </row>
    <row r="42" ht="45" customHeight="1">
      <c r="A42" s="2" t="n">
        <v>41</v>
      </c>
      <c r="B42" s="3" t="inlineStr">
        <is>
          <t>They refused to refund my order even though the product was defective.</t>
        </is>
      </c>
      <c r="C42" s="8" t="inlineStr">
        <is>
          <t>Negative</t>
        </is>
      </c>
      <c r="D42" s="5" t="inlineStr">
        <is>
          <t>Refund</t>
        </is>
      </c>
      <c r="E42" s="2" t="inlineStr"/>
      <c r="F42" s="2" t="inlineStr"/>
      <c r="G42" s="2">
        <f>IF(E42="","",IF(E42=C42,"✓","✗"))</f>
        <v/>
      </c>
      <c r="H42" s="2">
        <f>IF(F42="","",IF(F42=D42,"✓","✗"))</f>
        <v/>
      </c>
    </row>
    <row r="43" ht="45" customHeight="1">
      <c r="A43" s="6" t="n">
        <v>42</v>
      </c>
      <c r="B43" s="7" t="inlineStr">
        <is>
          <t>The stitching came apart within a week. Very disappointing quality.</t>
        </is>
      </c>
      <c r="C43" s="8" t="inlineStr">
        <is>
          <t>Negative</t>
        </is>
      </c>
      <c r="D43" s="13" t="inlineStr">
        <is>
          <t>Product Quality</t>
        </is>
      </c>
      <c r="E43" s="6" t="inlineStr"/>
      <c r="F43" s="6" t="inlineStr"/>
      <c r="G43" s="6">
        <f>IF(E43="","",IF(E43=C43,"✓","✗"))</f>
        <v/>
      </c>
      <c r="H43" s="6">
        <f>IF(F43="","",IF(F43=D43,"✓","✗"))</f>
        <v/>
      </c>
    </row>
    <row r="44" ht="45" customHeight="1">
      <c r="A44" s="2" t="n">
        <v>43</v>
      </c>
      <c r="B44" s="3" t="inlineStr">
        <is>
          <t>They deducted shipping from my refund without informing me. Dishonest.</t>
        </is>
      </c>
      <c r="C44" s="8" t="inlineStr">
        <is>
          <t>Negative</t>
        </is>
      </c>
      <c r="D44" s="5" t="inlineStr">
        <is>
          <t>Refund</t>
        </is>
      </c>
      <c r="E44" s="2" t="inlineStr"/>
      <c r="F44" s="2" t="inlineStr"/>
      <c r="G44" s="2">
        <f>IF(E44="","",IF(E44=C44,"✓","✗"))</f>
        <v/>
      </c>
      <c r="H44" s="2">
        <f>IF(F44="","",IF(F44=D44,"✓","✗"))</f>
        <v/>
      </c>
    </row>
    <row r="45" ht="45" customHeight="1">
      <c r="A45" s="6" t="n">
        <v>44</v>
      </c>
      <c r="B45" s="7" t="inlineStr">
        <is>
          <t>Refund took about 10 business days which is within their policy.</t>
        </is>
      </c>
      <c r="C45" s="4" t="inlineStr">
        <is>
          <t>Neutral</t>
        </is>
      </c>
      <c r="D45" s="5" t="inlineStr">
        <is>
          <t>Refund</t>
        </is>
      </c>
      <c r="E45" s="6" t="inlineStr"/>
      <c r="F45" s="6" t="inlineStr"/>
      <c r="G45" s="6">
        <f>IF(E45="","",IF(E45=C45,"✓","✗"))</f>
        <v/>
      </c>
      <c r="H45" s="6">
        <f>IF(F45="","",IF(F45=D45,"✓","✗"))</f>
        <v/>
      </c>
    </row>
    <row r="46" ht="45" customHeight="1">
      <c r="A46" s="2" t="n">
        <v>45</v>
      </c>
      <c r="B46" s="3" t="inlineStr">
        <is>
          <t>I've been using this for a month now and it's still working perfectly.</t>
        </is>
      </c>
      <c r="C46" s="12" t="inlineStr">
        <is>
          <t>Positive</t>
        </is>
      </c>
      <c r="D46" s="13" t="inlineStr">
        <is>
          <t>Product Quality</t>
        </is>
      </c>
      <c r="E46" s="2" t="inlineStr"/>
      <c r="F46" s="2" t="inlineStr"/>
      <c r="G46" s="2">
        <f>IF(E46="","",IF(E46=C46,"✓","✗"))</f>
        <v/>
      </c>
      <c r="H46" s="2">
        <f>IF(F46="","",IF(F46=D46,"✓","✗"))</f>
        <v/>
      </c>
    </row>
    <row r="47" ht="45" customHeight="1">
      <c r="A47" s="6" t="n">
        <v>46</v>
      </c>
      <c r="B47" s="7" t="inlineStr">
        <is>
          <t>Price nearly doubled after I added it to the cart. Bait and switch.</t>
        </is>
      </c>
      <c r="C47" s="8" t="inlineStr">
        <is>
          <t>Negative</t>
        </is>
      </c>
      <c r="D47" s="10" t="inlineStr">
        <is>
          <t>Pricing</t>
        </is>
      </c>
      <c r="E47" s="6" t="inlineStr"/>
      <c r="F47" s="6" t="inlineStr"/>
      <c r="G47" s="6">
        <f>IF(E47="","",IF(E47=C47,"✓","✗"))</f>
        <v/>
      </c>
      <c r="H47" s="6">
        <f>IF(F47="","",IF(F47=D47,"✓","✗"))</f>
        <v/>
      </c>
    </row>
    <row r="48" ht="45" customHeight="1">
      <c r="A48" s="2" t="n">
        <v>47</v>
      </c>
      <c r="B48" s="3" t="inlineStr">
        <is>
          <t>Best price online for this product. Very happy with the deal.</t>
        </is>
      </c>
      <c r="C48" s="12" t="inlineStr">
        <is>
          <t>Positive</t>
        </is>
      </c>
      <c r="D48" s="10" t="inlineStr">
        <is>
          <t>Pricing</t>
        </is>
      </c>
      <c r="E48" s="2" t="inlineStr"/>
      <c r="F48" s="2" t="inlineStr"/>
      <c r="G48" s="2">
        <f>IF(E48="","",IF(E48=C48,"✓","✗"))</f>
        <v/>
      </c>
      <c r="H48" s="2">
        <f>IF(F48="","",IF(F48=D48,"✓","✗"))</f>
        <v/>
      </c>
    </row>
    <row r="49" ht="45" customHeight="1">
      <c r="A49" s="6" t="n">
        <v>48</v>
      </c>
      <c r="B49" s="7" t="inlineStr">
        <is>
          <t>Incredible value for money. Can't believe I got this quality at this price.</t>
        </is>
      </c>
      <c r="C49" s="12" t="inlineStr">
        <is>
          <t>Positive</t>
        </is>
      </c>
      <c r="D49" s="10" t="inlineStr">
        <is>
          <t>Pricing</t>
        </is>
      </c>
      <c r="E49" s="6" t="inlineStr"/>
      <c r="F49" s="6" t="inlineStr"/>
      <c r="G49" s="6">
        <f>IF(E49="","",IF(E49=C49,"✓","✗"))</f>
        <v/>
      </c>
      <c r="H49" s="6">
        <f>IF(F49="","",IF(F49=D49,"✓","✗"))</f>
        <v/>
      </c>
    </row>
    <row r="50" ht="45" customHeight="1">
      <c r="A50" s="2" t="n">
        <v>49</v>
      </c>
      <c r="B50" s="3" t="inlineStr">
        <is>
          <t>The delivery was marked as completed but nothing arrived at my address.</t>
        </is>
      </c>
      <c r="C50" s="8" t="inlineStr">
        <is>
          <t>Negative</t>
        </is>
      </c>
      <c r="D50" s="9" t="inlineStr">
        <is>
          <t>Delivery</t>
        </is>
      </c>
      <c r="E50" s="2" t="inlineStr"/>
      <c r="F50" s="2" t="inlineStr"/>
      <c r="G50" s="2">
        <f>IF(E50="","",IF(E50=C50,"✓","✗"))</f>
        <v/>
      </c>
      <c r="H50" s="2">
        <f>IF(F50="","",IF(F50=D50,"✓","✗"))</f>
        <v/>
      </c>
    </row>
    <row r="51" ht="45" customHeight="1">
      <c r="A51" s="6" t="n">
        <v>50</v>
      </c>
      <c r="B51" s="7" t="inlineStr">
        <is>
          <t>Full refund issued immediately after I explained the issue. Great experience.</t>
        </is>
      </c>
      <c r="C51" s="12" t="inlineStr">
        <is>
          <t>Positive</t>
        </is>
      </c>
      <c r="D51" s="5" t="inlineStr">
        <is>
          <t>Refund</t>
        </is>
      </c>
      <c r="E51" s="6" t="inlineStr"/>
      <c r="F51" s="6" t="inlineStr"/>
      <c r="G51" s="6">
        <f>IF(E51="","",IF(E51=C51,"✓","✗"))</f>
        <v/>
      </c>
      <c r="H51" s="6">
        <f>IF(F51="","",IF(F51=D51,"✓","✗"))</f>
        <v/>
      </c>
    </row>
    <row r="52" ht="45" customHeight="1">
      <c r="A52" s="2" t="n">
        <v>51</v>
      </c>
      <c r="B52" s="3" t="inlineStr">
        <is>
          <t>Product looks exactly like the photo but stopped working after a week.</t>
        </is>
      </c>
      <c r="C52" s="8" t="inlineStr">
        <is>
          <t>Negative</t>
        </is>
      </c>
      <c r="D52" s="13" t="inlineStr">
        <is>
          <t>Product Quality</t>
        </is>
      </c>
      <c r="E52" s="2" t="inlineStr"/>
      <c r="F52" s="2" t="inlineStr"/>
      <c r="G52" s="2">
        <f>IF(E52="","",IF(E52=C52,"✓","✗"))</f>
        <v/>
      </c>
      <c r="H52" s="2">
        <f>IF(F52="","",IF(F52=D52,"✓","✗"))</f>
        <v/>
      </c>
    </row>
    <row r="53" ht="45" customHeight="1">
      <c r="A53" s="6" t="n">
        <v>52</v>
      </c>
      <c r="B53" s="7" t="inlineStr">
        <is>
          <t>Amazing customer service! They went above and beyond to help me.</t>
        </is>
      </c>
      <c r="C53" s="12" t="inlineStr">
        <is>
          <t>Positive</t>
        </is>
      </c>
      <c r="D53" s="11" t="inlineStr">
        <is>
          <t>Customer Support</t>
        </is>
      </c>
      <c r="E53" s="6" t="inlineStr"/>
      <c r="F53" s="6" t="inlineStr"/>
      <c r="G53" s="6">
        <f>IF(E53="","",IF(E53=C53,"✓","✗"))</f>
        <v/>
      </c>
      <c r="H53" s="6">
        <f>IF(F53="","",IF(F53=D53,"✓","✗"))</f>
        <v/>
      </c>
    </row>
    <row r="54" ht="45" customHeight="1">
      <c r="A54" s="2" t="n">
        <v>53</v>
      </c>
      <c r="B54" s="3" t="inlineStr">
        <is>
          <t>Delivery was smooth and the tracking updates were accurate throughout.</t>
        </is>
      </c>
      <c r="C54" s="12" t="inlineStr">
        <is>
          <t>Positive</t>
        </is>
      </c>
      <c r="D54" s="9" t="inlineStr">
        <is>
          <t>Delivery</t>
        </is>
      </c>
      <c r="E54" s="2" t="inlineStr"/>
      <c r="F54" s="2" t="inlineStr"/>
      <c r="G54" s="2">
        <f>IF(E54="","",IF(E54=C54,"✓","✗"))</f>
        <v/>
      </c>
      <c r="H54" s="2">
        <f>IF(F54="","",IF(F54=D54,"✓","✗"))</f>
        <v/>
      </c>
    </row>
    <row r="55" ht="45" customHeight="1">
      <c r="A55" s="6" t="n">
        <v>54</v>
      </c>
      <c r="B55" s="7" t="inlineStr">
        <is>
          <t>The support agent was rude and dismissive of my concerns.</t>
        </is>
      </c>
      <c r="C55" s="8" t="inlineStr">
        <is>
          <t>Negative</t>
        </is>
      </c>
      <c r="D55" s="11" t="inlineStr">
        <is>
          <t>Customer Support</t>
        </is>
      </c>
      <c r="E55" s="6" t="inlineStr"/>
      <c r="F55" s="6" t="inlineStr"/>
      <c r="G55" s="6">
        <f>IF(E55="","",IF(E55=C55,"✓","✗"))</f>
        <v/>
      </c>
      <c r="H55" s="6">
        <f>IF(F55="","",IF(F55=D55,"✓","✗"))</f>
        <v/>
      </c>
    </row>
    <row r="56" ht="45" customHeight="1">
      <c r="A56" s="2" t="n">
        <v>55</v>
      </c>
      <c r="B56" s="3" t="inlineStr">
        <is>
          <t>The build quality is outstanding. Feels very premium and durable.</t>
        </is>
      </c>
      <c r="C56" s="12" t="inlineStr">
        <is>
          <t>Positive</t>
        </is>
      </c>
      <c r="D56" s="13" t="inlineStr">
        <is>
          <t>Product Quality</t>
        </is>
      </c>
      <c r="E56" s="2" t="inlineStr"/>
      <c r="F56" s="2" t="inlineStr"/>
      <c r="G56" s="2">
        <f>IF(E56="","",IF(E56=C56,"✓","✗"))</f>
        <v/>
      </c>
      <c r="H56" s="2">
        <f>IF(F56="","",IF(F56=D56,"✓","✗"))</f>
        <v/>
      </c>
    </row>
    <row r="57" ht="45" customHeight="1">
      <c r="A57" s="6" t="n">
        <v>56</v>
      </c>
      <c r="B57" s="7" t="inlineStr">
        <is>
          <t>Refund request has been ignored for 2 weeks. Filing a chargeback now.</t>
        </is>
      </c>
      <c r="C57" s="8" t="inlineStr">
        <is>
          <t>Negative</t>
        </is>
      </c>
      <c r="D57" s="5" t="inlineStr">
        <is>
          <t>Refund</t>
        </is>
      </c>
      <c r="E57" s="6" t="inlineStr"/>
      <c r="F57" s="6" t="inlineStr"/>
      <c r="G57" s="6">
        <f>IF(E57="","",IF(E57=C57,"✓","✗"))</f>
        <v/>
      </c>
      <c r="H57" s="6">
        <f>IF(F57="","",IF(F57=D57,"✓","✗"))</f>
        <v/>
      </c>
    </row>
    <row r="58" ht="45" customHeight="1">
      <c r="A58" s="2" t="n">
        <v>57</v>
      </c>
      <c r="B58" s="3" t="inlineStr">
        <is>
          <t>Response time was slow but the answer was helpful when it came.</t>
        </is>
      </c>
      <c r="C58" s="4" t="inlineStr">
        <is>
          <t>Neutral</t>
        </is>
      </c>
      <c r="D58" s="11" t="inlineStr">
        <is>
          <t>Customer Support</t>
        </is>
      </c>
      <c r="E58" s="2" t="inlineStr"/>
      <c r="F58" s="2" t="inlineStr"/>
      <c r="G58" s="2">
        <f>IF(E58="","",IF(E58=C58,"✓","✗"))</f>
        <v/>
      </c>
      <c r="H58" s="2">
        <f>IF(F58="","",IF(F58=D58,"✓","✗"))</f>
        <v/>
      </c>
    </row>
    <row r="59" ht="45" customHeight="1">
      <c r="A59" s="6" t="n">
        <v>58</v>
      </c>
      <c r="B59" s="7" t="inlineStr">
        <is>
          <t>My promo code didn't work and support refused to honor the discount.</t>
        </is>
      </c>
      <c r="C59" s="8" t="inlineStr">
        <is>
          <t>Negative</t>
        </is>
      </c>
      <c r="D59" s="10" t="inlineStr">
        <is>
          <t>Pricing</t>
        </is>
      </c>
      <c r="E59" s="6" t="inlineStr"/>
      <c r="F59" s="6" t="inlineStr"/>
      <c r="G59" s="6">
        <f>IF(E59="","",IF(E59=C59,"✓","✗"))</f>
        <v/>
      </c>
      <c r="H59" s="6">
        <f>IF(F59="","",IF(F59=D59,"✓","✗"))</f>
        <v/>
      </c>
    </row>
    <row r="60" ht="45" customHeight="1">
      <c r="A60" s="2" t="n">
        <v>59</v>
      </c>
      <c r="B60" s="3" t="inlineStr">
        <is>
          <t>Completely defective out of the box. Wouldn't even turn on.</t>
        </is>
      </c>
      <c r="C60" s="8" t="inlineStr">
        <is>
          <t>Negative</t>
        </is>
      </c>
      <c r="D60" s="13" t="inlineStr">
        <is>
          <t>Product Quality</t>
        </is>
      </c>
      <c r="E60" s="2" t="inlineStr"/>
      <c r="F60" s="2" t="inlineStr"/>
      <c r="G60" s="2">
        <f>IF(E60="","",IF(E60=C60,"✓","✗"))</f>
        <v/>
      </c>
      <c r="H60" s="2">
        <f>IF(F60="","",IF(F60=D60,"✓","✗"))</f>
        <v/>
      </c>
    </row>
    <row r="61" ht="45" customHeight="1">
      <c r="A61" s="6" t="n">
        <v>60</v>
      </c>
      <c r="B61" s="7" t="inlineStr">
        <is>
          <t>The discount applied automatically at checkout. Great savings!</t>
        </is>
      </c>
      <c r="C61" s="12" t="inlineStr">
        <is>
          <t>Positive</t>
        </is>
      </c>
      <c r="D61" s="10" t="inlineStr">
        <is>
          <t>Pricing</t>
        </is>
      </c>
      <c r="E61" s="6" t="inlineStr"/>
      <c r="F61" s="6" t="inlineStr"/>
      <c r="G61" s="6">
        <f>IF(E61="","",IF(E61=C61,"✓","✗"))</f>
        <v/>
      </c>
      <c r="H61" s="6">
        <f>IF(F61="","",IF(F61=D61,"✓","✗"))</f>
        <v/>
      </c>
    </row>
    <row r="62" ht="45" customHeight="1">
      <c r="A62" s="2" t="n">
        <v>61</v>
      </c>
      <c r="B62" s="3" t="inlineStr">
        <is>
          <t>Product smells terrible and the color is completely different from what was shown.</t>
        </is>
      </c>
      <c r="C62" s="8" t="inlineStr">
        <is>
          <t>Negative</t>
        </is>
      </c>
      <c r="D62" s="13" t="inlineStr">
        <is>
          <t>Product Quality</t>
        </is>
      </c>
      <c r="E62" s="2" t="inlineStr"/>
      <c r="F62" s="2" t="inlineStr"/>
      <c r="G62" s="2">
        <f>IF(E62="","",IF(E62=C62,"✓","✗"))</f>
        <v/>
      </c>
      <c r="H62" s="2">
        <f>IF(F62="","",IF(F62=D62,"✓","✗"))</f>
        <v/>
      </c>
    </row>
    <row r="63" ht="45" customHeight="1">
      <c r="A63" s="6" t="n">
        <v>62</v>
      </c>
      <c r="B63" s="7" t="inlineStr">
        <is>
          <t>My package has been stuck in transit for 10 days with no updates.</t>
        </is>
      </c>
      <c r="C63" s="8" t="inlineStr">
        <is>
          <t>Negative</t>
        </is>
      </c>
      <c r="D63" s="9" t="inlineStr">
        <is>
          <t>Delivery</t>
        </is>
      </c>
      <c r="E63" s="6" t="inlineStr"/>
      <c r="F63" s="6" t="inlineStr"/>
      <c r="G63" s="6">
        <f>IF(E63="","",IF(E63=C63,"✓","✗"))</f>
        <v/>
      </c>
      <c r="H63" s="6">
        <f>IF(F63="","",IF(F63=D63,"✓","✗"))</f>
        <v/>
      </c>
    </row>
    <row r="64" ht="45" customHeight="1">
      <c r="A64" s="2" t="n">
        <v>63</v>
      </c>
      <c r="B64" s="3" t="inlineStr">
        <is>
          <t>Ordered 3 weeks ago and still haven't received anything. Terrible shipping.</t>
        </is>
      </c>
      <c r="C64" s="8" t="inlineStr">
        <is>
          <t>Negative</t>
        </is>
      </c>
      <c r="D64" s="9" t="inlineStr">
        <is>
          <t>Delivery</t>
        </is>
      </c>
      <c r="E64" s="2" t="inlineStr"/>
      <c r="F64" s="2" t="inlineStr"/>
      <c r="G64" s="2">
        <f>IF(E64="","",IF(E64=C64,"✓","✗"))</f>
        <v/>
      </c>
      <c r="H64" s="2">
        <f>IF(F64="","",IF(F64=D64,"✓","✗"))</f>
        <v/>
      </c>
    </row>
    <row r="65" ht="45" customHeight="1">
      <c r="A65" s="6" t="n">
        <v>64</v>
      </c>
      <c r="B65" s="7" t="inlineStr">
        <is>
          <t>Way overpriced for what you get. Completely not worth it.</t>
        </is>
      </c>
      <c r="C65" s="8" t="inlineStr">
        <is>
          <t>Negative</t>
        </is>
      </c>
      <c r="D65" s="10" t="inlineStr">
        <is>
          <t>Pricing</t>
        </is>
      </c>
      <c r="E65" s="6" t="inlineStr"/>
      <c r="F65" s="6" t="inlineStr"/>
      <c r="G65" s="6">
        <f>IF(E65="","",IF(E65=C65,"✓","✗"))</f>
        <v/>
      </c>
      <c r="H65" s="6">
        <f>IF(F65="","",IF(F65=D65,"✓","✗"))</f>
        <v/>
      </c>
    </row>
    <row r="66" ht="45" customHeight="1">
      <c r="A66" s="2" t="n">
        <v>65</v>
      </c>
      <c r="B66" s="3" t="inlineStr">
        <is>
          <t>My account was charged twice for the same order. Major bug.</t>
        </is>
      </c>
      <c r="C66" s="8" t="inlineStr">
        <is>
          <t>Negative</t>
        </is>
      </c>
      <c r="D66" s="14" t="inlineStr">
        <is>
          <t>Account/App</t>
        </is>
      </c>
      <c r="E66" s="2" t="inlineStr"/>
      <c r="F66" s="2" t="inlineStr"/>
      <c r="G66" s="2">
        <f>IF(E66="","",IF(E66=C66,"✓","✗"))</f>
        <v/>
      </c>
      <c r="H66" s="2">
        <f>IF(F66="","",IF(F66=D66,"✓","✗"))</f>
        <v/>
      </c>
    </row>
    <row r="67" ht="45" customHeight="1">
      <c r="A67" s="6" t="n">
        <v>66</v>
      </c>
      <c r="B67" s="7" t="inlineStr">
        <is>
          <t>Best purchase I've made this year. The quality is unmatched at this price point.</t>
        </is>
      </c>
      <c r="C67" s="12" t="inlineStr">
        <is>
          <t>Positive</t>
        </is>
      </c>
      <c r="D67" s="13" t="inlineStr">
        <is>
          <t>Product Quality</t>
        </is>
      </c>
      <c r="E67" s="6" t="inlineStr"/>
      <c r="F67" s="6" t="inlineStr"/>
      <c r="G67" s="6">
        <f>IF(E67="","",IF(E67=C67,"✓","✗"))</f>
        <v/>
      </c>
      <c r="H67" s="6">
        <f>IF(F67="","",IF(F67=D67,"✓","✗"))</f>
        <v/>
      </c>
    </row>
    <row r="68" ht="45" customHeight="1">
      <c r="A68" s="2" t="n">
        <v>67</v>
      </c>
      <c r="B68" s="3" t="inlineStr">
        <is>
          <t>One-click reorder feature in the app saved me so much time!</t>
        </is>
      </c>
      <c r="C68" s="12" t="inlineStr">
        <is>
          <t>Positive</t>
        </is>
      </c>
      <c r="D68" s="14" t="inlineStr">
        <is>
          <t>Account/App</t>
        </is>
      </c>
      <c r="E68" s="2" t="inlineStr"/>
      <c r="F68" s="2" t="inlineStr"/>
      <c r="G68" s="2">
        <f>IF(E68="","",IF(E68=C68,"✓","✗"))</f>
        <v/>
      </c>
      <c r="H68" s="2">
        <f>IF(F68="","",IF(F68=D68,"✓","✗"))</f>
        <v/>
      </c>
    </row>
    <row r="69" ht="45" customHeight="1">
      <c r="A69" s="6" t="n">
        <v>68</v>
      </c>
      <c r="B69" s="7" t="inlineStr">
        <is>
          <t>Had to fill out several forms for the refund but it came through.</t>
        </is>
      </c>
      <c r="C69" s="4" t="inlineStr">
        <is>
          <t>Neutral</t>
        </is>
      </c>
      <c r="D69" s="5" t="inlineStr">
        <is>
          <t>Refund</t>
        </is>
      </c>
      <c r="E69" s="6" t="inlineStr"/>
      <c r="F69" s="6" t="inlineStr"/>
      <c r="G69" s="6">
        <f>IF(E69="","",IF(E69=C69,"✓","✗"))</f>
        <v/>
      </c>
      <c r="H69" s="6">
        <f>IF(F69="","",IF(F69=D69,"✓","✗"))</f>
        <v/>
      </c>
    </row>
    <row r="70" ht="45" customHeight="1">
      <c r="A70" s="2" t="n">
        <v>69</v>
      </c>
      <c r="B70" s="3" t="inlineStr">
        <is>
          <t>Product itself is great but delivery took forever. Mixed feelings overall.</t>
        </is>
      </c>
      <c r="C70" s="4" t="inlineStr">
        <is>
          <t>Neutral</t>
        </is>
      </c>
      <c r="D70" s="9" t="inlineStr">
        <is>
          <t>Delivery</t>
        </is>
      </c>
      <c r="E70" s="2" t="inlineStr"/>
      <c r="F70" s="2" t="inlineStr"/>
      <c r="G70" s="2">
        <f>IF(E70="","",IF(E70=C70,"✓","✗"))</f>
        <v/>
      </c>
      <c r="H70" s="2">
        <f>IF(F70="","",IF(F70=D70,"✓","✗"))</f>
        <v/>
      </c>
    </row>
    <row r="71" ht="45" customHeight="1">
      <c r="A71" s="6" t="n">
        <v>70</v>
      </c>
      <c r="B71" s="7" t="inlineStr">
        <is>
          <t>The product broke after just two uses. Extremely poor quality.</t>
        </is>
      </c>
      <c r="C71" s="8" t="inlineStr">
        <is>
          <t>Negative</t>
        </is>
      </c>
      <c r="D71" s="13" t="inlineStr">
        <is>
          <t>Product Quality</t>
        </is>
      </c>
      <c r="E71" s="6" t="inlineStr"/>
      <c r="F71" s="6" t="inlineStr"/>
      <c r="G71" s="6">
        <f>IF(E71="","",IF(E71=C71,"✓","✗"))</f>
        <v/>
      </c>
      <c r="H71" s="6">
        <f>IF(F71="","",IF(F71=D71,"✓","✗"))</f>
        <v/>
      </c>
    </row>
    <row r="72" ht="45" customHeight="1">
      <c r="A72" s="2" t="n">
        <v>71</v>
      </c>
      <c r="B72" s="3" t="inlineStr">
        <is>
          <t>My order arrived two days early and everything was perfectly packed!</t>
        </is>
      </c>
      <c r="C72" s="12" t="inlineStr">
        <is>
          <t>Positive</t>
        </is>
      </c>
      <c r="D72" s="9" t="inlineStr">
        <is>
          <t>Delivery</t>
        </is>
      </c>
      <c r="E72" s="2" t="inlineStr"/>
      <c r="F72" s="2" t="inlineStr"/>
      <c r="G72" s="2">
        <f>IF(E72="","",IF(E72=C72,"✓","✗"))</f>
        <v/>
      </c>
      <c r="H72" s="2">
        <f>IF(F72="","",IF(F72=D72,"✓","✗"))</f>
        <v/>
      </c>
    </row>
    <row r="73" ht="45" customHeight="1">
      <c r="A73" s="6" t="n">
        <v>72</v>
      </c>
      <c r="B73" s="7" t="inlineStr">
        <is>
          <t>The refund was processed but I had to follow up 4 times.</t>
        </is>
      </c>
      <c r="C73" s="4" t="inlineStr">
        <is>
          <t>Neutral</t>
        </is>
      </c>
      <c r="D73" s="5" t="inlineStr">
        <is>
          <t>Refund</t>
        </is>
      </c>
      <c r="E73" s="6" t="inlineStr"/>
      <c r="F73" s="6" t="inlineStr"/>
      <c r="G73" s="6">
        <f>IF(E73="","",IF(E73=C73,"✓","✗"))</f>
        <v/>
      </c>
      <c r="H73" s="6">
        <f>IF(F73="","",IF(F73=D73,"✓","✗"))</f>
        <v/>
      </c>
    </row>
    <row r="74" ht="45" customHeight="1">
      <c r="A74" s="2" t="n">
        <v>73</v>
      </c>
      <c r="B74" s="3" t="inlineStr">
        <is>
          <t>Decent support experience. Nothing exceptional but the issue got fixed.</t>
        </is>
      </c>
      <c r="C74" s="4" t="inlineStr">
        <is>
          <t>Neutral</t>
        </is>
      </c>
      <c r="D74" s="11" t="inlineStr">
        <is>
          <t>Customer Support</t>
        </is>
      </c>
      <c r="E74" s="2" t="inlineStr"/>
      <c r="F74" s="2" t="inlineStr"/>
      <c r="G74" s="2">
        <f>IF(E74="","",IF(E74=C74,"✓","✗"))</f>
        <v/>
      </c>
      <c r="H74" s="2">
        <f>IF(F74="","",IF(F74=D74,"✓","✗"))</f>
        <v/>
      </c>
    </row>
    <row r="75" ht="45" customHeight="1">
      <c r="A75" s="6" t="n">
        <v>74</v>
      </c>
      <c r="B75" s="7" t="inlineStr">
        <is>
          <t>Love the product but the price seems too high for what it is.</t>
        </is>
      </c>
      <c r="C75" s="4" t="inlineStr">
        <is>
          <t>Neutral</t>
        </is>
      </c>
      <c r="D75" s="10" t="inlineStr">
        <is>
          <t>Pricing</t>
        </is>
      </c>
      <c r="E75" s="6" t="inlineStr"/>
      <c r="F75" s="6" t="inlineStr"/>
      <c r="G75" s="6">
        <f>IF(E75="","",IF(E75=C75,"✓","✗"))</f>
        <v/>
      </c>
      <c r="H75" s="6">
        <f>IF(F75="","",IF(F75=D75,"✓","✗"))</f>
        <v/>
      </c>
    </row>
    <row r="76" ht="45" customHeight="1">
      <c r="A76" s="2" t="n">
        <v>75</v>
      </c>
      <c r="B76" s="3" t="inlineStr">
        <is>
          <t>Got transferred between 4 different agents without anyone solving my problem.</t>
        </is>
      </c>
      <c r="C76" s="8" t="inlineStr">
        <is>
          <t>Negative</t>
        </is>
      </c>
      <c r="D76" s="11" t="inlineStr">
        <is>
          <t>Customer Support</t>
        </is>
      </c>
      <c r="E76" s="2" t="inlineStr"/>
      <c r="F76" s="2" t="inlineStr"/>
      <c r="G76" s="2">
        <f>IF(E76="","",IF(E76=C76,"✓","✗"))</f>
        <v/>
      </c>
      <c r="H76" s="2">
        <f>IF(F76="","",IF(F76=D76,"✓","✗"))</f>
        <v/>
      </c>
    </row>
    <row r="77" ht="45" customHeight="1">
      <c r="A77" s="6" t="n">
        <v>76</v>
      </c>
      <c r="B77" s="7" t="inlineStr">
        <is>
          <t>Decent app experience overall. Room for improvement in some areas.</t>
        </is>
      </c>
      <c r="C77" s="4" t="inlineStr">
        <is>
          <t>Neutral</t>
        </is>
      </c>
      <c r="D77" s="14" t="inlineStr">
        <is>
          <t>Account/App</t>
        </is>
      </c>
      <c r="E77" s="6" t="inlineStr"/>
      <c r="F77" s="6" t="inlineStr"/>
      <c r="G77" s="6">
        <f>IF(E77="","",IF(E77=C77,"✓","✗"))</f>
        <v/>
      </c>
      <c r="H77" s="6">
        <f>IF(F77="","",IF(F77=D77,"✓","✗"))</f>
        <v/>
      </c>
    </row>
    <row r="78" ht="45" customHeight="1">
      <c r="A78" s="2" t="n">
        <v>77</v>
      </c>
      <c r="B78" s="3" t="inlineStr">
        <is>
          <t>Product is decent. Not great, not terrible. Does what it's supposed to.</t>
        </is>
      </c>
      <c r="C78" s="4" t="inlineStr">
        <is>
          <t>Neutral</t>
        </is>
      </c>
      <c r="D78" s="13" t="inlineStr">
        <is>
          <t>Product Quality</t>
        </is>
      </c>
      <c r="E78" s="2" t="inlineStr"/>
      <c r="F78" s="2" t="inlineStr"/>
      <c r="G78" s="2">
        <f>IF(E78="","",IF(E78=C78,"✓","✗"))</f>
        <v/>
      </c>
      <c r="H78" s="2">
        <f>IF(F78="","",IF(F78=D78,"✓","✗"))</f>
        <v/>
      </c>
    </row>
    <row r="79" ht="45" customHeight="1">
      <c r="A79" s="6" t="n">
        <v>78</v>
      </c>
      <c r="B79" s="7" t="inlineStr">
        <is>
          <t>About average pricing. Nothing special compared to competitors.</t>
        </is>
      </c>
      <c r="C79" s="4" t="inlineStr">
        <is>
          <t>Neutral</t>
        </is>
      </c>
      <c r="D79" s="10" t="inlineStr">
        <is>
          <t>Pricing</t>
        </is>
      </c>
      <c r="E79" s="6" t="inlineStr"/>
      <c r="F79" s="6" t="inlineStr"/>
      <c r="G79" s="6">
        <f>IF(E79="","",IF(E79=C79,"✓","✗"))</f>
        <v/>
      </c>
      <c r="H79" s="6">
        <f>IF(F79="","",IF(F79=D79,"✓","✗"))</f>
        <v/>
      </c>
    </row>
    <row r="80" ht="45" customHeight="1">
      <c r="A80" s="2" t="n">
        <v>79</v>
      </c>
      <c r="B80" s="3" t="inlineStr">
        <is>
          <t>The app is painfully slow and unresponsive. Needs a serious fix.</t>
        </is>
      </c>
      <c r="C80" s="8" t="inlineStr">
        <is>
          <t>Negative</t>
        </is>
      </c>
      <c r="D80" s="14" t="inlineStr">
        <is>
          <t>Account/App</t>
        </is>
      </c>
      <c r="E80" s="2" t="inlineStr"/>
      <c r="F80" s="2" t="inlineStr"/>
      <c r="G80" s="2">
        <f>IF(E80="","",IF(E80=C80,"✓","✗"))</f>
        <v/>
      </c>
      <c r="H80" s="2">
        <f>IF(F80="","",IF(F80=D80,"✓","✗"))</f>
        <v/>
      </c>
    </row>
    <row r="81" ht="45" customHeight="1">
      <c r="A81" s="6" t="n">
        <v>80</v>
      </c>
      <c r="B81" s="7" t="inlineStr">
        <is>
          <t>The new app update is fantastic. So much smoother and faster now.</t>
        </is>
      </c>
      <c r="C81" s="12" t="inlineStr">
        <is>
          <t>Positive</t>
        </is>
      </c>
      <c r="D81" s="14" t="inlineStr">
        <is>
          <t>Account/App</t>
        </is>
      </c>
      <c r="E81" s="6" t="inlineStr"/>
      <c r="F81" s="6" t="inlineStr"/>
      <c r="G81" s="6">
        <f>IF(E81="","",IF(E81=C81,"✓","✗"))</f>
        <v/>
      </c>
      <c r="H81" s="6">
        <f>IF(F81="","",IF(F81=D81,"✓","✗"))</f>
        <v/>
      </c>
    </row>
    <row r="82" ht="45" customHeight="1">
      <c r="A82" s="2" t="n">
        <v>81</v>
      </c>
      <c r="B82" s="3" t="inlineStr">
        <is>
          <t>Got a 30% off coupon applied and the final price was unbeatable.</t>
        </is>
      </c>
      <c r="C82" s="12" t="inlineStr">
        <is>
          <t>Positive</t>
        </is>
      </c>
      <c r="D82" s="10" t="inlineStr">
        <is>
          <t>Pricing</t>
        </is>
      </c>
      <c r="E82" s="2" t="inlineStr"/>
      <c r="F82" s="2" t="inlineStr"/>
      <c r="G82" s="2">
        <f>IF(E82="","",IF(E82=C82,"✓","✗"))</f>
        <v/>
      </c>
      <c r="H82" s="2">
        <f>IF(F82="","",IF(F82=D82,"✓","✗"))</f>
        <v/>
      </c>
    </row>
    <row r="83" ht="45" customHeight="1">
      <c r="A83" s="6" t="n">
        <v>82</v>
      </c>
      <c r="B83" s="7" t="inlineStr">
        <is>
          <t>Reasonable quality. A few rough edges but functional overall.</t>
        </is>
      </c>
      <c r="C83" s="4" t="inlineStr">
        <is>
          <t>Neutral</t>
        </is>
      </c>
      <c r="D83" s="13" t="inlineStr">
        <is>
          <t>Product Quality</t>
        </is>
      </c>
      <c r="E83" s="6" t="inlineStr"/>
      <c r="F83" s="6" t="inlineStr"/>
      <c r="G83" s="6">
        <f>IF(E83="","",IF(E83=C83,"✓","✗"))</f>
        <v/>
      </c>
      <c r="H83" s="6">
        <f>IF(F83="","",IF(F83=D83,"✓","✗"))</f>
        <v/>
      </c>
    </row>
    <row r="84" ht="45" customHeight="1">
      <c r="A84" s="2" t="n">
        <v>83</v>
      </c>
      <c r="B84" s="3" t="inlineStr">
        <is>
          <t>It works as described but the finish isn't as polished as I expected.</t>
        </is>
      </c>
      <c r="C84" s="4" t="inlineStr">
        <is>
          <t>Neutral</t>
        </is>
      </c>
      <c r="D84" s="13" t="inlineStr">
        <is>
          <t>Product Quality</t>
        </is>
      </c>
      <c r="E84" s="2" t="inlineStr"/>
      <c r="F84" s="2" t="inlineStr"/>
      <c r="G84" s="2">
        <f>IF(E84="","",IF(E84=C84,"✓","✗"))</f>
        <v/>
      </c>
      <c r="H84" s="2">
        <f>IF(F84="","",IF(F84=D84,"✓","✗"))</f>
        <v/>
      </c>
    </row>
    <row r="85" ht="45" customHeight="1">
      <c r="A85" s="6" t="n">
        <v>84</v>
      </c>
      <c r="B85" s="7" t="inlineStr">
        <is>
          <t>Works okay on my phone. A few minor glitches here and there.</t>
        </is>
      </c>
      <c r="C85" s="4" t="inlineStr">
        <is>
          <t>Neutral</t>
        </is>
      </c>
      <c r="D85" s="14" t="inlineStr">
        <is>
          <t>Account/App</t>
        </is>
      </c>
      <c r="E85" s="6" t="inlineStr"/>
      <c r="F85" s="6" t="inlineStr"/>
      <c r="G85" s="6">
        <f>IF(E85="","",IF(E85=C85,"✓","✗"))</f>
        <v/>
      </c>
      <c r="H85" s="6">
        <f>IF(F85="","",IF(F85=D85,"✓","✗"))</f>
        <v/>
      </c>
    </row>
    <row r="86" ht="45" customHeight="1">
      <c r="A86" s="2" t="n">
        <v>85</v>
      </c>
      <c r="B86" s="3" t="inlineStr">
        <is>
          <t>Customer service was friendly but couldn't actually solve my issue.</t>
        </is>
      </c>
      <c r="C86" s="8" t="inlineStr">
        <is>
          <t>Negative</t>
        </is>
      </c>
      <c r="D86" s="11" t="inlineStr">
        <is>
          <t>Customer Support</t>
        </is>
      </c>
      <c r="E86" s="2" t="inlineStr"/>
      <c r="F86" s="2" t="inlineStr"/>
      <c r="G86" s="2">
        <f>IF(E86="","",IF(E86=C86,"✓","✗"))</f>
        <v/>
      </c>
      <c r="H86" s="2">
        <f>IF(F86="","",IF(F86=D86,"✓","✗"))</f>
        <v/>
      </c>
    </row>
    <row r="87" ht="45" customHeight="1">
      <c r="A87" s="6" t="n">
        <v>86</v>
      </c>
      <c r="B87" s="7" t="inlineStr">
        <is>
          <t>The courier was polite and delivered right to my door. Excellent service.</t>
        </is>
      </c>
      <c r="C87" s="12" t="inlineStr">
        <is>
          <t>Positive</t>
        </is>
      </c>
      <c r="D87" s="9" t="inlineStr">
        <is>
          <t>Delivery</t>
        </is>
      </c>
      <c r="E87" s="6" t="inlineStr"/>
      <c r="F87" s="6" t="inlineStr"/>
      <c r="G87" s="6">
        <f>IF(E87="","",IF(E87=C87,"✓","✗"))</f>
        <v/>
      </c>
      <c r="H87" s="6">
        <f>IF(F87="","",IF(F87=D87,"✓","✗"))</f>
        <v/>
      </c>
    </row>
    <row r="88" ht="45" customHeight="1">
      <c r="A88" s="2" t="n">
        <v>87</v>
      </c>
      <c r="B88" s="3" t="inlineStr">
        <is>
          <t>Support team gave me completely wrong information and wasted my time.</t>
        </is>
      </c>
      <c r="C88" s="8" t="inlineStr">
        <is>
          <t>Negative</t>
        </is>
      </c>
      <c r="D88" s="11" t="inlineStr">
        <is>
          <t>Customer Support</t>
        </is>
      </c>
      <c r="E88" s="2" t="inlineStr"/>
      <c r="F88" s="2" t="inlineStr"/>
      <c r="G88" s="2">
        <f>IF(E88="","",IF(E88=C88,"✓","✗"))</f>
        <v/>
      </c>
      <c r="H88" s="2">
        <f>IF(F88="","",IF(F88=D88,"✓","✗"))</f>
        <v/>
      </c>
    </row>
    <row r="89" ht="45" customHeight="1">
      <c r="A89" s="6" t="n">
        <v>88</v>
      </c>
      <c r="B89" s="7" t="inlineStr">
        <is>
          <t>The app is super intuitive and makes managing my orders effortless.</t>
        </is>
      </c>
      <c r="C89" s="12" t="inlineStr">
        <is>
          <t>Positive</t>
        </is>
      </c>
      <c r="D89" s="14" t="inlineStr">
        <is>
          <t>Account/App</t>
        </is>
      </c>
      <c r="E89" s="6" t="inlineStr"/>
      <c r="F89" s="6" t="inlineStr"/>
      <c r="G89" s="6">
        <f>IF(E89="","",IF(E89=C89,"✓","✗"))</f>
        <v/>
      </c>
      <c r="H89" s="6">
        <f>IF(F89="","",IF(F89=D89,"✓","✗"))</f>
        <v/>
      </c>
    </row>
    <row r="90" ht="45" customHeight="1">
      <c r="A90" s="2" t="n">
        <v>89</v>
      </c>
      <c r="B90" s="3" t="inlineStr">
        <is>
          <t>Shipping took about a week. Nothing special, just standard delivery.</t>
        </is>
      </c>
      <c r="C90" s="4" t="inlineStr">
        <is>
          <t>Neutral</t>
        </is>
      </c>
      <c r="D90" s="9" t="inlineStr">
        <is>
          <t>Delivery</t>
        </is>
      </c>
      <c r="E90" s="2" t="inlineStr"/>
      <c r="F90" s="2" t="inlineStr"/>
      <c r="G90" s="2">
        <f>IF(E90="","",IF(E90=C90,"✓","✗"))</f>
        <v/>
      </c>
      <c r="H90" s="2">
        <f>IF(F90="","",IF(F90=D90,"✓","✗"))</f>
        <v/>
      </c>
    </row>
    <row r="91" ht="45" customHeight="1">
      <c r="A91" s="6" t="n">
        <v>90</v>
      </c>
      <c r="B91" s="7" t="inlineStr">
        <is>
          <t>Hidden fees added at checkout made the final price much higher than expected.</t>
        </is>
      </c>
      <c r="C91" s="8" t="inlineStr">
        <is>
          <t>Negative</t>
        </is>
      </c>
      <c r="D91" s="10" t="inlineStr">
        <is>
          <t>Pricing</t>
        </is>
      </c>
      <c r="E91" s="6" t="inlineStr"/>
      <c r="F91" s="6" t="inlineStr"/>
      <c r="G91" s="6">
        <f>IF(E91="","",IF(E91=C91,"✓","✗"))</f>
        <v/>
      </c>
      <c r="H91" s="6">
        <f>IF(F91="","",IF(F91=D91,"✓","✗"))</f>
        <v/>
      </c>
    </row>
    <row r="92" ht="45" customHeight="1">
      <c r="A92" s="2" t="n">
        <v>91</v>
      </c>
      <c r="B92" s="3" t="inlineStr">
        <is>
          <t>Account setup was straightforward. UI is a bit dated though.</t>
        </is>
      </c>
      <c r="C92" s="4" t="inlineStr">
        <is>
          <t>Neutral</t>
        </is>
      </c>
      <c r="D92" s="14" t="inlineStr">
        <is>
          <t>Account/App</t>
        </is>
      </c>
      <c r="E92" s="2" t="inlineStr"/>
      <c r="F92" s="2" t="inlineStr"/>
      <c r="G92" s="2">
        <f>IF(E92="","",IF(E92=C92,"✓","✗"))</f>
        <v/>
      </c>
      <c r="H92" s="2">
        <f>IF(F92="","",IF(F92=D92,"✓","✗"))</f>
        <v/>
      </c>
    </row>
    <row r="93" ht="45" customHeight="1">
      <c r="A93" s="6" t="n">
        <v>92</v>
      </c>
      <c r="B93" s="7" t="inlineStr">
        <is>
          <t>Got my order. Took longer than the estimated date by two days.</t>
        </is>
      </c>
      <c r="C93" s="4" t="inlineStr">
        <is>
          <t>Neutral</t>
        </is>
      </c>
      <c r="D93" s="9" t="inlineStr">
        <is>
          <t>Delivery</t>
        </is>
      </c>
      <c r="E93" s="6" t="inlineStr"/>
      <c r="F93" s="6" t="inlineStr"/>
      <c r="G93" s="6">
        <f>IF(E93="","",IF(E93=C93,"✓","✗"))</f>
        <v/>
      </c>
      <c r="H93" s="6">
        <f>IF(F93="","",IF(F93=D93,"✓","✗"))</f>
        <v/>
      </c>
    </row>
    <row r="94" ht="45" customHeight="1">
      <c r="A94" s="2" t="n">
        <v>93</v>
      </c>
      <c r="B94" s="3" t="inlineStr">
        <is>
          <t>Exactly as described. High quality materials and great finish.</t>
        </is>
      </c>
      <c r="C94" s="12" t="inlineStr">
        <is>
          <t>Positive</t>
        </is>
      </c>
      <c r="D94" s="13" t="inlineStr">
        <is>
          <t>Product Quality</t>
        </is>
      </c>
      <c r="E94" s="2" t="inlineStr"/>
      <c r="F94" s="2" t="inlineStr"/>
      <c r="G94" s="2">
        <f>IF(E94="","",IF(E94=C94,"✓","✗"))</f>
        <v/>
      </c>
      <c r="H94" s="2">
        <f>IF(F94="","",IF(F94=D94,"✓","✗"))</f>
        <v/>
      </c>
    </row>
    <row r="95" ht="45" customHeight="1">
      <c r="A95" s="6" t="n">
        <v>94</v>
      </c>
      <c r="B95" s="7" t="inlineStr">
        <is>
          <t>The product is okay. Some minor quality issues but nothing major.</t>
        </is>
      </c>
      <c r="C95" s="4" t="inlineStr">
        <is>
          <t>Neutral</t>
        </is>
      </c>
      <c r="D95" s="13" t="inlineStr">
        <is>
          <t>Product Quality</t>
        </is>
      </c>
      <c r="E95" s="6" t="inlineStr"/>
      <c r="F95" s="6" t="inlineStr"/>
      <c r="G95" s="6">
        <f>IF(E95="","",IF(E95=C95,"✓","✗"))</f>
        <v/>
      </c>
      <c r="H95" s="6">
        <f>IF(F95="","",IF(F95=D95,"✓","✗"))</f>
        <v/>
      </c>
    </row>
    <row r="96" ht="45" customHeight="1">
      <c r="A96" s="2" t="n">
        <v>95</v>
      </c>
      <c r="B96" s="3" t="inlineStr">
        <is>
          <t>The return process was seamless and refund hit my account within 2 days.</t>
        </is>
      </c>
      <c r="C96" s="12" t="inlineStr">
        <is>
          <t>Positive</t>
        </is>
      </c>
      <c r="D96" s="5" t="inlineStr">
        <is>
          <t>Refund</t>
        </is>
      </c>
      <c r="E96" s="2" t="inlineStr"/>
      <c r="F96" s="2" t="inlineStr"/>
      <c r="G96" s="2">
        <f>IF(E96="","",IF(E96=C96,"✓","✗"))</f>
        <v/>
      </c>
      <c r="H96" s="2">
        <f>IF(F96="","",IF(F96=D96,"✓","✗"))</f>
        <v/>
      </c>
    </row>
    <row r="97" ht="45" customHeight="1">
      <c r="A97" s="6" t="n">
        <v>96</v>
      </c>
      <c r="B97" s="7" t="inlineStr">
        <is>
          <t>It's been 3 weeks and I still haven't received my refund. Absolutely unacceptable.</t>
        </is>
      </c>
      <c r="C97" s="8" t="inlineStr">
        <is>
          <t>Negative</t>
        </is>
      </c>
      <c r="D97" s="5" t="inlineStr">
        <is>
          <t>Refund</t>
        </is>
      </c>
      <c r="E97" s="6" t="inlineStr"/>
      <c r="F97" s="6" t="inlineStr"/>
      <c r="G97" s="6">
        <f>IF(E97="","",IF(E97=C97,"✓","✗"))</f>
        <v/>
      </c>
      <c r="H97" s="6">
        <f>IF(F97="","",IF(F97=D97,"✓","✗"))</f>
        <v/>
      </c>
    </row>
    <row r="98" ht="45" customHeight="1">
      <c r="A98" s="2" t="n">
        <v>97</v>
      </c>
      <c r="B98" s="3" t="inlineStr">
        <is>
          <t>Great app interface but logged me out randomly and lost my cart.</t>
        </is>
      </c>
      <c r="C98" s="4" t="inlineStr">
        <is>
          <t>Neutral</t>
        </is>
      </c>
      <c r="D98" s="14" t="inlineStr">
        <is>
          <t>Account/App</t>
        </is>
      </c>
      <c r="E98" s="2" t="inlineStr"/>
      <c r="F98" s="2" t="inlineStr"/>
      <c r="G98" s="2">
        <f>IF(E98="","",IF(E98=C98,"✓","✗"))</f>
        <v/>
      </c>
      <c r="H98" s="2">
        <f>IF(F98="","",IF(F98=D98,"✓","✗"))</f>
        <v/>
      </c>
    </row>
    <row r="99" ht="45" customHeight="1">
      <c r="A99" s="6" t="n">
        <v>98</v>
      </c>
      <c r="B99" s="7" t="inlineStr">
        <is>
          <t>Received my order on time and in perfect condition. Great logistics.</t>
        </is>
      </c>
      <c r="C99" s="12" t="inlineStr">
        <is>
          <t>Positive</t>
        </is>
      </c>
      <c r="D99" s="9" t="inlineStr">
        <is>
          <t>Delivery</t>
        </is>
      </c>
      <c r="E99" s="6" t="inlineStr"/>
      <c r="F99" s="6" t="inlineStr"/>
      <c r="G99" s="6">
        <f>IF(E99="","",IF(E99=C99,"✓","✗"))</f>
        <v/>
      </c>
      <c r="H99" s="6">
        <f>IF(F99="","",IF(F99=D99,"✓","✗"))</f>
        <v/>
      </c>
    </row>
    <row r="100" ht="45" customHeight="1">
      <c r="A100" s="2" t="n">
        <v>99</v>
      </c>
      <c r="B100" s="3" t="inlineStr">
        <is>
          <t>Arrived eventually. No tracking updates were sent which was a bit annoying.</t>
        </is>
      </c>
      <c r="C100" s="4" t="inlineStr">
        <is>
          <t>Neutral</t>
        </is>
      </c>
      <c r="D100" s="9" t="inlineStr">
        <is>
          <t>Delivery</t>
        </is>
      </c>
      <c r="E100" s="2" t="inlineStr"/>
      <c r="F100" s="2" t="inlineStr"/>
      <c r="G100" s="2">
        <f>IF(E100="","",IF(E100=C100,"✓","✗"))</f>
        <v/>
      </c>
      <c r="H100" s="2">
        <f>IF(F100="","",IF(F100=D100,"✓","✗"))</f>
        <v/>
      </c>
    </row>
    <row r="101" ht="45" customHeight="1">
      <c r="A101" s="6" t="n">
        <v>100</v>
      </c>
      <c r="B101" s="7" t="inlineStr">
        <is>
          <t>The app crashes every time I try to checkout. Very frustrating.</t>
        </is>
      </c>
      <c r="C101" s="8" t="inlineStr">
        <is>
          <t>Negative</t>
        </is>
      </c>
      <c r="D101" s="14" t="inlineStr">
        <is>
          <t>Account/App</t>
        </is>
      </c>
      <c r="E101" s="6" t="inlineStr"/>
      <c r="F101" s="6" t="inlineStr"/>
      <c r="G101" s="6">
        <f>IF(E101="","",IF(E101=C101,"✓","✗"))</f>
        <v/>
      </c>
      <c r="H101" s="6">
        <f>IF(F101="","",IF(F101=D101,"✓","✗"))</f>
        <v/>
      </c>
    </row>
  </sheetData>
  <autoFilter ref="A1:H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20" customWidth="1" min="4" max="4"/>
  </cols>
  <sheetData>
    <row r="1" ht="28" customHeight="1">
      <c r="A1" s="15" t="inlineStr">
        <is>
          <t>📊 Evaluation Metrics Dashboard</t>
        </is>
      </c>
    </row>
    <row r="3">
      <c r="A3" s="16" t="inlineStr">
        <is>
          <t>OVERALL ACCURACY</t>
        </is>
      </c>
      <c r="B3" s="17" t="n"/>
      <c r="C3" s="17" t="n"/>
      <c r="D3" s="18" t="n"/>
    </row>
    <row r="4">
      <c r="A4" s="19" t="inlineStr">
        <is>
          <t>Metric</t>
        </is>
      </c>
      <c r="B4" s="19" t="inlineStr">
        <is>
          <t>Value</t>
        </is>
      </c>
      <c r="C4" s="19" t="inlineStr">
        <is>
          <t>Formula Used</t>
        </is>
      </c>
      <c r="D4" s="19" t="inlineStr">
        <is>
          <t>Status</t>
        </is>
      </c>
    </row>
    <row r="5" ht="20" customHeight="1">
      <c r="A5" s="20" t="inlineStr">
        <is>
          <t>Total Rows Evaluated</t>
        </is>
      </c>
      <c r="B5" s="2">
        <f>COUNTIF(Dataset!E2:E101,"&lt;&gt;")</f>
        <v/>
      </c>
      <c r="C5" s="21" t="inlineStr">
        <is>
          <t>COUNTIF non-empty predictions</t>
        </is>
      </c>
    </row>
    <row r="6" ht="20" customHeight="1">
      <c r="A6" s="20" t="inlineStr">
        <is>
          <t>Sentiment Exact Match</t>
        </is>
      </c>
      <c r="B6" s="22">
        <f>IFERROR(COUNTIF(Dataset!G2:G101,"✓")/COUNTIF(Dataset!G2:G101,"&lt;&gt;"),"N/A")</f>
        <v/>
      </c>
      <c r="C6" s="21" t="inlineStr">
        <is>
          <t>✓ count / total predicted</t>
        </is>
      </c>
    </row>
    <row r="7" ht="20" customHeight="1">
      <c r="A7" s="20" t="inlineStr">
        <is>
          <t>Topic Exact Match</t>
        </is>
      </c>
      <c r="B7" s="22">
        <f>IFERROR(COUNTIF(Dataset!H2:H101,"✓")/COUNTIF(Dataset!H2:H101,"&lt;&gt;"),"N/A")</f>
        <v/>
      </c>
      <c r="C7" s="21" t="inlineStr">
        <is>
          <t>✓ count / total predicted</t>
        </is>
      </c>
    </row>
    <row r="8" ht="20" customHeight="1">
      <c r="A8" s="20" t="inlineStr">
        <is>
          <t>Combined Accuracy</t>
        </is>
      </c>
      <c r="B8" s="22">
        <f>IFERROR((COUNTIF(Dataset!G2:G101,"✓")+COUNTIF(Dataset!H2:H101,"✓"))/(2*COUNTIF(Dataset!G2:G101,"&lt;&gt;")),"N/A")</f>
        <v/>
      </c>
      <c r="C8" s="21" t="inlineStr">
        <is>
          <t>Average of both accuracies</t>
        </is>
      </c>
    </row>
    <row r="10">
      <c r="A10" s="16" t="inlineStr">
        <is>
          <t>SENTIMENT CLASS BREAKDOWN</t>
        </is>
      </c>
      <c r="B10" s="17" t="n"/>
      <c r="C10" s="17" t="n"/>
      <c r="D10" s="18" t="n"/>
    </row>
    <row r="11">
      <c r="A11" s="19" t="inlineStr">
        <is>
          <t>Sentiment</t>
        </is>
      </c>
      <c r="B11" s="19" t="inlineStr">
        <is>
          <t>Total in Dataset</t>
        </is>
      </c>
      <c r="C11" s="19" t="inlineStr">
        <is>
          <t>Correct Predictions</t>
        </is>
      </c>
      <c r="D11" s="19" t="inlineStr">
        <is>
          <t>Class Accuracy</t>
        </is>
      </c>
    </row>
    <row r="12" ht="20" customHeight="1">
      <c r="A12" s="23" t="inlineStr">
        <is>
          <t>Positive</t>
        </is>
      </c>
      <c r="B12" s="2">
        <f>COUNTIF(Dataset!C2:C101,"Positive")</f>
        <v/>
      </c>
      <c r="C12" s="2">
        <f>COUNTIFS(Dataset!C2:C101,"Positive",Dataset!G2:G101,"✓")</f>
        <v/>
      </c>
      <c r="D12" s="22">
        <f>IFERROR(C12/B12,"N/A")</f>
        <v/>
      </c>
    </row>
    <row r="13" ht="20" customHeight="1">
      <c r="A13" s="24" t="inlineStr">
        <is>
          <t>Negative</t>
        </is>
      </c>
      <c r="B13" s="2">
        <f>COUNTIF(Dataset!C2:C101,"Negative")</f>
        <v/>
      </c>
      <c r="C13" s="2">
        <f>COUNTIFS(Dataset!C2:C101,"Negative",Dataset!G2:G101,"✓")</f>
        <v/>
      </c>
      <c r="D13" s="22">
        <f>IFERROR(C13/B13,"N/A")</f>
        <v/>
      </c>
    </row>
    <row r="14" ht="20" customHeight="1">
      <c r="A14" s="25" t="inlineStr">
        <is>
          <t>Neutral</t>
        </is>
      </c>
      <c r="B14" s="2">
        <f>COUNTIF(Dataset!C2:C101,"Neutral")</f>
        <v/>
      </c>
      <c r="C14" s="2">
        <f>COUNTIFS(Dataset!C2:C101,"Neutral",Dataset!G2:G101,"✓")</f>
        <v/>
      </c>
      <c r="D14" s="22">
        <f>IFERROR(C14/B14,"N/A")</f>
        <v/>
      </c>
    </row>
    <row r="17">
      <c r="A17" s="16" t="inlineStr">
        <is>
          <t>TOPIC CLASS BREAKDOWN</t>
        </is>
      </c>
      <c r="B17" s="17" t="n"/>
      <c r="C17" s="17" t="n"/>
      <c r="D17" s="18" t="n"/>
    </row>
    <row r="18">
      <c r="A18" s="19" t="inlineStr">
        <is>
          <t>Topic</t>
        </is>
      </c>
      <c r="B18" s="19" t="inlineStr">
        <is>
          <t>Total in Dataset</t>
        </is>
      </c>
      <c r="C18" s="19" t="inlineStr">
        <is>
          <t>Correct Predictions</t>
        </is>
      </c>
      <c r="D18" s="19" t="inlineStr">
        <is>
          <t>Class Accuracy</t>
        </is>
      </c>
    </row>
    <row r="19" ht="20" customHeight="1">
      <c r="A19" s="26" t="inlineStr">
        <is>
          <t>Delivery</t>
        </is>
      </c>
      <c r="B19" s="2">
        <f>COUNTIF(Dataset!D2:D101,"Delivery")</f>
        <v/>
      </c>
      <c r="C19" s="2">
        <f>COUNTIFS(Dataset!D2:D101,"Delivery",Dataset!H2:H101,"✓")</f>
        <v/>
      </c>
      <c r="D19" s="22">
        <f>IFERROR(C19/B19,"N/A")</f>
        <v/>
      </c>
    </row>
    <row r="20" ht="20" customHeight="1">
      <c r="A20" s="27" t="inlineStr">
        <is>
          <t>Product Quality</t>
        </is>
      </c>
      <c r="B20" s="2">
        <f>COUNTIF(Dataset!D2:D101,"Product Quality")</f>
        <v/>
      </c>
      <c r="C20" s="2">
        <f>COUNTIFS(Dataset!D2:D101,"Product Quality",Dataset!H2:H101,"✓")</f>
        <v/>
      </c>
      <c r="D20" s="22">
        <f>IFERROR(C20/B20,"N/A")</f>
        <v/>
      </c>
    </row>
    <row r="21" ht="20" customHeight="1">
      <c r="A21" s="28" t="inlineStr">
        <is>
          <t>Refund</t>
        </is>
      </c>
      <c r="B21" s="2">
        <f>COUNTIF(Dataset!D2:D101,"Refund")</f>
        <v/>
      </c>
      <c r="C21" s="2">
        <f>COUNTIFS(Dataset!D2:D101,"Refund",Dataset!H2:H101,"✓")</f>
        <v/>
      </c>
      <c r="D21" s="22">
        <f>IFERROR(C21/B21,"N/A")</f>
        <v/>
      </c>
    </row>
    <row r="22" ht="20" customHeight="1">
      <c r="A22" s="29" t="inlineStr">
        <is>
          <t>Customer Support</t>
        </is>
      </c>
      <c r="B22" s="2">
        <f>COUNTIF(Dataset!D2:D101,"Customer Support")</f>
        <v/>
      </c>
      <c r="C22" s="2">
        <f>COUNTIFS(Dataset!D2:D101,"Customer Support",Dataset!H2:H101,"✓")</f>
        <v/>
      </c>
      <c r="D22" s="22">
        <f>IFERROR(C22/B22,"N/A")</f>
        <v/>
      </c>
    </row>
    <row r="23" ht="20" customHeight="1">
      <c r="A23" s="30" t="inlineStr">
        <is>
          <t>Pricing</t>
        </is>
      </c>
      <c r="B23" s="2">
        <f>COUNTIF(Dataset!D2:D101,"Pricing")</f>
        <v/>
      </c>
      <c r="C23" s="2">
        <f>COUNTIFS(Dataset!D2:D101,"Pricing",Dataset!H2:H101,"✓")</f>
        <v/>
      </c>
      <c r="D23" s="22">
        <f>IFERROR(C23/B23,"N/A")</f>
        <v/>
      </c>
    </row>
    <row r="24" ht="20" customHeight="1">
      <c r="A24" s="31" t="inlineStr">
        <is>
          <t>Account/App</t>
        </is>
      </c>
      <c r="B24" s="2">
        <f>COUNTIF(Dataset!D2:D101,"Account/App")</f>
        <v/>
      </c>
      <c r="C24" s="2">
        <f>COUNTIFS(Dataset!D2:D101,"Account/App",Dataset!H2:H101,"✓")</f>
        <v/>
      </c>
      <c r="D24" s="22">
        <f>IFERROR(C24/B24,"N/A")</f>
        <v/>
      </c>
    </row>
  </sheetData>
  <mergeCells count="4">
    <mergeCell ref="A1:D1"/>
    <mergeCell ref="A17:D17"/>
    <mergeCell ref="A3:D3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60" customWidth="1" min="3" max="3"/>
    <col width="20" customWidth="1" min="4" max="4"/>
    <col width="20" customWidth="1" min="5" max="5"/>
  </cols>
  <sheetData>
    <row r="1">
      <c r="A1" s="1" t="inlineStr">
        <is>
          <t>Run #</t>
        </is>
      </c>
      <c r="B1" s="1" t="inlineStr">
        <is>
          <t>Timestamp</t>
        </is>
      </c>
      <c r="C1" s="1" t="inlineStr">
        <is>
          <t>Prompt Used</t>
        </is>
      </c>
      <c r="D1" s="1" t="inlineStr">
        <is>
          <t>Sentiment Acc.</t>
        </is>
      </c>
      <c r="E1" s="1" t="inlineStr">
        <is>
          <t>Topic Acc.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2026-03-29T16:24:33Z</dcterms:created>
  <dcterms:modified xmlns:dcterms="http://purl.org/dc/terms/" xmlns:xsi="http://www.w3.org/2001/XMLSchema-instance" xsi:type="dcterms:W3CDTF">2026-03-29T16:24:33Z</dcterms:modified>
</cp:coreProperties>
</file>